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" sheetId="2" r:id="rId6"/>
    <sheet state="visible" name="Dashborad" sheetId="3" r:id="rId7"/>
  </sheets>
  <definedNames/>
  <calcPr/>
  <pivotCaches>
    <pivotCache cacheId="0" r:id="rId8"/>
    <pivotCache cacheId="1" r:id="rId9"/>
    <pivotCache cacheId="2" r:id="rId10"/>
  </pivotCaches>
</workbook>
</file>

<file path=xl/sharedStrings.xml><?xml version="1.0" encoding="utf-8"?>
<sst xmlns="http://schemas.openxmlformats.org/spreadsheetml/2006/main" count="1008" uniqueCount="244">
  <si>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</si>
  <si>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</si>
  <si>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</si>
  <si>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</si>
  <si>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</si>
  <si>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</si>
  <si>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</si>
  <si>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</si>
  <si>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</si>
  <si>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</si>
  <si>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</si>
  <si>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</si>
  <si>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</si>
  <si>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Wheelbase</t>
  </si>
  <si>
    <t>Width</t>
  </si>
  <si>
    <t>Length</t>
  </si>
  <si>
    <t>Curb Weight</t>
  </si>
  <si>
    <t>Fuel Capacity</t>
  </si>
  <si>
    <t>Latest Launch</t>
  </si>
  <si>
    <t>Month</t>
  </si>
  <si>
    <t>Year</t>
  </si>
  <si>
    <t>Months</t>
  </si>
  <si>
    <t>RevenueColumn</t>
  </si>
  <si>
    <t>Acura</t>
  </si>
  <si>
    <t>Integra</t>
  </si>
  <si>
    <t>GOOD</t>
  </si>
  <si>
    <t>Medium HP</t>
  </si>
  <si>
    <t>Passenger</t>
  </si>
  <si>
    <t>TL</t>
  </si>
  <si>
    <t>RL</t>
  </si>
  <si>
    <t>Audi</t>
  </si>
  <si>
    <t>A4</t>
  </si>
  <si>
    <t>A6</t>
  </si>
  <si>
    <t>A8</t>
  </si>
  <si>
    <t>POOR</t>
  </si>
  <si>
    <t>High HP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</si>
  <si>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</si>
  <si>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</si>
  <si>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</si>
  <si>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</si>
  <si>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</si>
  <si>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</si>
  <si>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</si>
  <si>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</si>
  <si>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</si>
  <si>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</si>
  <si>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</si>
  <si>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</si>
  <si>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</si>
  <si>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</si>
  <si>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</si>
  <si>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</si>
  <si>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</si>
  <si>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</si>
  <si>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</si>
  <si>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</si>
  <si>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</si>
  <si>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</si>
  <si>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</si>
  <si>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</si>
  <si>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</si>
  <si>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Low HP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</si>
  <si>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</si>
  <si>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</si>
  <si>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</si>
  <si>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</si>
  <si>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</si>
  <si>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</si>
  <si>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</si>
  <si>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</si>
  <si>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</si>
  <si>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</si>
  <si>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</si>
  <si>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</si>
  <si>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</si>
  <si>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</si>
  <si>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</si>
  <si>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</si>
  <si>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</si>
  <si>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</si>
  <si>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</si>
  <si>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</si>
  <si>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</si>
  <si>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</si>
  <si>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</si>
  <si>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</si>
  <si>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</si>
  <si>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</si>
  <si>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</si>
  <si>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</si>
  <si>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</si>
  <si>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</si>
  <si>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</si>
  <si>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</si>
  <si>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</si>
  <si>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</si>
  <si>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</si>
  <si>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</si>
  <si>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</si>
  <si>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</si>
  <si>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</si>
  <si>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</si>
  <si>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</si>
  <si>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</si>
  <si>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</si>
  <si>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</si>
  <si>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</si>
  <si>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</si>
  <si>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</si>
  <si>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</si>
  <si>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</si>
  <si>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</si>
  <si>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</si>
  <si>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</si>
  <si>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</si>
  <si>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</si>
  <si>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</si>
  <si>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</si>
  <si>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</si>
  <si>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</si>
  <si>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</si>
  <si>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</si>
  <si>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</si>
  <si>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</si>
  <si>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</si>
  <si>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</si>
  <si>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</si>
  <si>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</si>
  <si>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</si>
  <si>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</si>
  <si>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</si>
  <si>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</si>
  <si>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</si>
  <si>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</si>
  <si>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</si>
  <si>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</si>
  <si>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</si>
  <si>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</si>
  <si>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</si>
  <si>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</si>
  <si>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</si>
  <si>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</si>
  <si>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</si>
  <si>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</si>
  <si>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</si>
  <si>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</si>
  <si>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</si>
  <si>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</si>
  <si>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</si>
  <si>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</si>
  <si>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</si>
  <si>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</si>
  <si>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</si>
  <si>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</si>
  <si>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</si>
  <si>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</si>
  <si>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</si>
  <si>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</si>
  <si>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</si>
  <si>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</si>
  <si>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</si>
  <si>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</si>
  <si>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</si>
  <si>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</si>
  <si>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</si>
  <si>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</si>
  <si>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</si>
  <si>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</si>
  <si>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</si>
  <si>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</si>
  <si>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</si>
  <si>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</si>
  <si>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</si>
  <si>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</si>
  <si>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</si>
  <si>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</si>
  <si>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</si>
  <si>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</si>
  <si>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</si>
  <si>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</si>
  <si>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</si>
  <si>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</si>
  <si>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</si>
  <si>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</si>
  <si>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</si>
  <si>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</si>
  <si>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</si>
  <si>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</si>
  <si>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</si>
  <si>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</si>
  <si>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</si>
  <si>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</si>
  <si>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</si>
  <si>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</si>
  <si>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</si>
  <si>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</si>
  <si>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</si>
  <si>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</si>
  <si>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</si>
  <si>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</si>
  <si>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</si>
  <si>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</si>
  <si>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</si>
  <si>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</si>
  <si>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</si>
  <si>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</si>
  <si>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</si>
  <si>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</si>
  <si>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</si>
  <si>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</si>
  <si>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</si>
  <si>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</si>
  <si>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SUM of Unit Sales</t>
  </si>
  <si>
    <t>SUM of Year Resale Value</t>
  </si>
  <si>
    <t>SUM of Retention %</t>
  </si>
  <si>
    <t>SUM of Engine Size</t>
  </si>
  <si>
    <t>SUM of Wheelbase</t>
  </si>
  <si>
    <t>SUM of Width</t>
  </si>
  <si>
    <t>SUM of Length</t>
  </si>
  <si>
    <t>SUM of Curb Weight</t>
  </si>
  <si>
    <t>SUM of Fuel Capacity</t>
  </si>
  <si>
    <t>COUNTA of Latest Launch</t>
  </si>
  <si>
    <t>AVERAGE of Fuel Efficiency</t>
  </si>
  <si>
    <t>Grand Total</t>
  </si>
  <si>
    <t>April</t>
  </si>
  <si>
    <t>2008 Total</t>
  </si>
  <si>
    <t>August</t>
  </si>
  <si>
    <t>December</t>
  </si>
  <si>
    <t>2009 Total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</si>
  <si>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</si>
  <si>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</si>
  <si>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</si>
  <si>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</si>
  <si>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</si>
  <si>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</si>
  <si>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</si>
  <si>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</si>
  <si>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</si>
  <si>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2011 Total</t>
  </si>
  <si>
    <t>2012 Total</t>
  </si>
  <si>
    <t>CAR SALES DASHBOARD</t>
  </si>
  <si>
    <t>Total Sales</t>
  </si>
  <si>
    <t>Average Price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</si>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</sst>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£-809]#,##0.00"/>
    <numFmt numFmtId="165" formatCode="d/m/yyyy"/>
    <numFmt numFmtId="166" formatCode="d-mmm-yyyy"/>
    <numFmt numFmtId="167" formatCode="dd-mmm-yyyy"/>
    <numFmt numFmtId="168" formatCode="dd-mmmm-yyyy"/>
    <numFmt numFmtId="169" formatCode="d-mmmm-yyyy"/>
    <numFmt numFmtId="170" formatCode="dd-mm-yyyy"/>
    <numFmt numFmtId="171" formatCode="d-m-yyyy"/>
    <numFmt numFmtId="172" formatCode="d-m"/>
  </numFmts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</font>
    <font>
      <i/>
      <color rgb="FF000000"/>
      <name val="Arial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b/>
      <sz val="26.0"/>
      <color theme="1"/>
      <name val="Arial"/>
    </font>
    <font>
      <sz val="17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0"/>
    </xf>
    <xf borderId="1" fillId="0" fontId="2" numFmtId="0" xfId="0" applyBorder="1" applyFont="1"/>
    <xf borderId="2" fillId="0" fontId="2" numFmtId="0" xfId="0" applyBorder="1" applyFont="1"/>
    <xf borderId="1" fillId="2" fontId="3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right" shrinkToFit="0" vertical="bottom" wrapText="0"/>
    </xf>
    <xf borderId="1" fillId="0" fontId="4" numFmtId="164" xfId="0" applyAlignment="1" applyBorder="1" applyFont="1" applyNumberFormat="1">
      <alignment horizontal="right" shrinkToFit="0" vertical="bottom" wrapText="0"/>
    </xf>
    <xf borderId="1" fillId="2" fontId="4" numFmtId="9" xfId="0" applyAlignment="1" applyBorder="1" applyFont="1" applyNumberFormat="1">
      <alignment horizontal="right"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0" fontId="5" numFmtId="165" xfId="0" applyBorder="1" applyFont="1" applyNumberFormat="1"/>
    <xf borderId="1" fillId="0" fontId="5" numFmtId="0" xfId="0" applyBorder="1" applyFont="1"/>
    <xf borderId="2" fillId="0" fontId="5" numFmtId="0" xfId="0" applyBorder="1" applyFont="1"/>
    <xf borderId="1" fillId="0" fontId="5" numFmtId="164" xfId="0" applyBorder="1" applyFont="1" applyNumberFormat="1"/>
    <xf borderId="1" fillId="0" fontId="5" numFmtId="166" xfId="0" applyBorder="1" applyFont="1" applyNumberFormat="1"/>
    <xf borderId="1" fillId="0" fontId="5" numFmtId="167" xfId="0" applyBorder="1" applyFont="1" applyNumberFormat="1"/>
    <xf borderId="1" fillId="0" fontId="5" numFmtId="168" xfId="0" applyBorder="1" applyFont="1" applyNumberFormat="1"/>
    <xf borderId="1" fillId="0" fontId="5" numFmtId="169" xfId="0" applyBorder="1" applyFont="1" applyNumberFormat="1"/>
    <xf borderId="1" fillId="2" fontId="4" numFmtId="170" xfId="0" applyAlignment="1" applyBorder="1" applyFont="1" applyNumberFormat="1">
      <alignment horizontal="right" shrinkToFit="0" vertical="bottom" wrapText="0"/>
    </xf>
    <xf borderId="1" fillId="2" fontId="4" numFmtId="171" xfId="0" applyAlignment="1" applyBorder="1" applyFont="1" applyNumberFormat="1">
      <alignment horizontal="right" shrinkToFit="0" vertical="bottom" wrapText="0"/>
    </xf>
    <xf borderId="1" fillId="2" fontId="4" numFmtId="165" xfId="0" applyAlignment="1" applyBorder="1" applyFont="1" applyNumberFormat="1">
      <alignment horizontal="right" shrinkToFit="0" vertical="bottom" wrapText="0"/>
    </xf>
    <xf borderId="1" fillId="2" fontId="3" numFmtId="172" xfId="0" applyAlignment="1" applyBorder="1" applyFont="1" applyNumberFormat="1">
      <alignment shrinkToFit="0" vertical="bottom" wrapText="0"/>
    </xf>
    <xf borderId="0" fillId="0" fontId="5" numFmtId="0" xfId="0" applyFont="1"/>
    <xf borderId="0" fillId="0" fontId="5" numFmtId="164" xfId="0" applyFont="1" applyNumberFormat="1"/>
    <xf borderId="0" fillId="0" fontId="6" numFmtId="0" xfId="0" applyFont="1"/>
    <xf borderId="0" fillId="0" fontId="6" numFmtId="164" xfId="0" applyFont="1" applyNumberFormat="1"/>
    <xf borderId="0" fillId="0" fontId="6" numFmtId="9" xfId="0" applyFont="1" applyNumberFormat="1"/>
    <xf borderId="0" fillId="3" fontId="7" numFmtId="0" xfId="0" applyAlignment="1" applyFill="1" applyFont="1">
      <alignment horizontal="center"/>
    </xf>
    <xf borderId="0" fillId="4" fontId="8" numFmtId="0" xfId="0" applyAlignment="1" applyFill="1" applyFont="1">
      <alignment horizontal="center"/>
    </xf>
    <xf borderId="0" fillId="4" fontId="8" numFmtId="164" xfId="0" applyAlignment="1" applyFont="1" applyNumberFormat="1">
      <alignment horizontal="center"/>
    </xf>
    <xf borderId="0" fillId="5" fontId="5" numFmtId="0" xfId="0" applyFill="1" applyFont="1"/>
  </cellXfs>
  <cellStyles count="1">
    <cellStyle xfId="0" name="Normal" builtinId="0"/>
  </cellStyles>
  <dxfs count="2">
    <dxf>
      <font/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Unit Sales vs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'!$AP$1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'!$AO$2:$AO$5</c:f>
            </c:strRef>
          </c:cat>
          <c:val>
            <c:numRef>
              <c:f>'Pivot Table '!$AP$2:$AP$5</c:f>
              <c:numCache/>
            </c:numRef>
          </c:val>
          <c:smooth val="0"/>
        </c:ser>
        <c:axId val="996498546"/>
        <c:axId val="386042720"/>
      </c:lineChart>
      <c:catAx>
        <c:axId val="996498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86042720"/>
      </c:catAx>
      <c:valAx>
        <c:axId val="386042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9649854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Unit Sales vs Months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'!$AS$1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'!$AR$2:$AR$13</c:f>
            </c:strRef>
          </c:cat>
          <c:val>
            <c:numRef>
              <c:f>'Pivot Table '!$AS$2:$AS$13</c:f>
              <c:numCache/>
            </c:numRef>
          </c:val>
          <c:smooth val="0"/>
        </c:ser>
        <c:axId val="1069563625"/>
        <c:axId val="1317258434"/>
      </c:lineChart>
      <c:catAx>
        <c:axId val="1069563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7258434"/>
      </c:catAx>
      <c:valAx>
        <c:axId val="1317258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6956362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Unit Sales vs Manufacturer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'!$A$2:$A$31</c:f>
            </c:strRef>
          </c:cat>
          <c:val>
            <c:numRef>
              <c:f>'Pivot Table '!$B$2:$B$31</c:f>
              <c:numCache/>
            </c:numRef>
          </c:val>
        </c:ser>
        <c:axId val="399251615"/>
        <c:axId val="1795301070"/>
      </c:barChart>
      <c:catAx>
        <c:axId val="399251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Manufacturer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5301070"/>
      </c:catAx>
      <c:valAx>
        <c:axId val="1795301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9925161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Unit Sales vs Retention %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'!$AV$1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'!$AU$2:$AU$44</c:f>
            </c:strRef>
          </c:cat>
          <c:val>
            <c:numRef>
              <c:f>'Pivot Table '!$AV$2:$AV$44</c:f>
              <c:numCache/>
            </c:numRef>
          </c:val>
          <c:smooth val="0"/>
        </c:ser>
        <c:axId val="2087026149"/>
        <c:axId val="52478273"/>
      </c:lineChart>
      <c:catAx>
        <c:axId val="2087026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Retention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2478273"/>
      </c:catAx>
      <c:valAx>
        <c:axId val="52478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702614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of Fuel Efficiency vs Manufacturer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'!$AY$1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'!$AX$2:$AX$31</c:f>
            </c:strRef>
          </c:cat>
          <c:val>
            <c:numRef>
              <c:f>'Pivot Table '!$AY$2:$AY$31</c:f>
              <c:numCache/>
            </c:numRef>
          </c:val>
        </c:ser>
        <c:overlap val="100"/>
        <c:axId val="642227698"/>
        <c:axId val="647402662"/>
      </c:barChart>
      <c:catAx>
        <c:axId val="642227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Manufacturer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7402662"/>
      </c:catAx>
      <c:valAx>
        <c:axId val="647402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AVERAGE of Fuel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222769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Unit Sales vs Manufacturer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'!$A$2:$A$31</c:f>
            </c:strRef>
          </c:cat>
          <c:val>
            <c:numRef>
              <c:f>'Pivot Table '!$B$2:$B$31</c:f>
              <c:numCache/>
            </c:numRef>
          </c:val>
        </c:ser>
        <c:axId val="1982369290"/>
        <c:axId val="859629340"/>
      </c:barChart>
      <c:catAx>
        <c:axId val="19823692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Manufacturer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59629340"/>
      </c:catAx>
      <c:valAx>
        <c:axId val="8596293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82369290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Unit Sales vs Months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'!$AS$1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'!$AR$2:$AR$13</c:f>
            </c:strRef>
          </c:cat>
          <c:val>
            <c:numRef>
              <c:f>'Pivot Table '!$AS$2:$AS$13</c:f>
              <c:numCache/>
            </c:numRef>
          </c:val>
          <c:smooth val="0"/>
        </c:ser>
        <c:axId val="2022740681"/>
        <c:axId val="334426408"/>
      </c:lineChart>
      <c:catAx>
        <c:axId val="2022740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4426408"/>
      </c:catAx>
      <c:valAx>
        <c:axId val="334426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274068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Unit Sales vs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'!$AP$1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'!$AO$2:$AO$5</c:f>
            </c:strRef>
          </c:cat>
          <c:val>
            <c:numRef>
              <c:f>'Pivot Table '!$AP$2:$AP$5</c:f>
              <c:numCache/>
            </c:numRef>
          </c:val>
          <c:smooth val="0"/>
        </c:ser>
        <c:axId val="397233726"/>
        <c:axId val="497835446"/>
      </c:lineChart>
      <c:catAx>
        <c:axId val="397233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97835446"/>
      </c:catAx>
      <c:valAx>
        <c:axId val="497835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9723372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Unit Sales vs Retention %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'!$AV$1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'!$AU$2:$AU$44</c:f>
            </c:strRef>
          </c:cat>
          <c:val>
            <c:numRef>
              <c:f>'Pivot Table '!$AV$2:$AV$44</c:f>
              <c:numCache/>
            </c:numRef>
          </c:val>
          <c:smooth val="0"/>
        </c:ser>
        <c:axId val="605005083"/>
        <c:axId val="1601065632"/>
      </c:lineChart>
      <c:catAx>
        <c:axId val="605005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Retention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1065632"/>
      </c:catAx>
      <c:valAx>
        <c:axId val="1601065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500508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of Fuel Efficiency vs Manufacturer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'!$AY$1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'!$AX$2:$AX$31</c:f>
            </c:strRef>
          </c:cat>
          <c:val>
            <c:numRef>
              <c:f>'Pivot Table '!$AY$2:$AY$31</c:f>
              <c:numCache/>
            </c:numRef>
          </c:val>
        </c:ser>
        <c:overlap val="100"/>
        <c:axId val="1605437396"/>
        <c:axId val="121218708"/>
      </c:barChart>
      <c:catAx>
        <c:axId val="1605437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Manufacturer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218708"/>
      </c:catAx>
      <c:valAx>
        <c:axId val="121218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AVERAGE of Fuel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543739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Unit Sales vs Manufacturer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'!$A$2:$A$31</c:f>
            </c:strRef>
          </c:cat>
          <c:val>
            <c:numRef>
              <c:f>'Pivot Table '!$B$2:$B$31</c:f>
              <c:numCache/>
            </c:numRef>
          </c:val>
        </c:ser>
        <c:axId val="1737026226"/>
        <c:axId val="492616997"/>
      </c:barChart>
      <c:catAx>
        <c:axId val="1737026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Manufacturer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92616997"/>
      </c:catAx>
      <c:valAx>
        <c:axId val="492616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3702622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'!$AP$1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'!$AO$2:$AO$5</c:f>
            </c:strRef>
          </c:cat>
          <c:val>
            <c:numRef>
              <c:f>'Pivot Table '!$AP$2:$AP$5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390525</xdr:colOff>
      <xdr:row>32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39</xdr:col>
      <xdr:colOff>390525</xdr:colOff>
      <xdr:row>14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209550</xdr:colOff>
      <xdr:row>35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49</xdr:col>
      <xdr:colOff>104775</xdr:colOff>
      <xdr:row>36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51</xdr:col>
      <xdr:colOff>447675</xdr:colOff>
      <xdr:row>10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352425</xdr:colOff>
      <xdr:row>34</xdr:row>
      <xdr:rowOff>104775</xdr:rowOff>
    </xdr:from>
    <xdr:ext cx="5715000" cy="3533775"/>
    <xdr:pic>
      <xdr:nvPicPr>
        <xdr:cNvPr id="0" name="image1.png" title="Chart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6</xdr:row>
      <xdr:rowOff>171450</xdr:rowOff>
    </xdr:from>
    <xdr:ext cx="4895850" cy="30384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742950</xdr:colOff>
      <xdr:row>6</xdr:row>
      <xdr:rowOff>171450</xdr:rowOff>
    </xdr:from>
    <xdr:ext cx="4943475" cy="30384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685800</xdr:colOff>
      <xdr:row>23</xdr:row>
      <xdr:rowOff>9525</xdr:rowOff>
    </xdr:from>
    <xdr:ext cx="4943475" cy="30384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333375</xdr:colOff>
      <xdr:row>23</xdr:row>
      <xdr:rowOff>9525</xdr:rowOff>
    </xdr:from>
    <xdr:ext cx="4895850" cy="30384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333375</xdr:colOff>
      <xdr:row>39</xdr:row>
      <xdr:rowOff>180975</xdr:rowOff>
    </xdr:from>
    <xdr:ext cx="4895850" cy="30384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685800</xdr:colOff>
      <xdr:row>39</xdr:row>
      <xdr:rowOff>180975</xdr:rowOff>
    </xdr:from>
    <xdr:ext cx="4895850" cy="30384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571500</xdr:colOff>
      <xdr:row>75</xdr:row>
      <xdr:rowOff>104775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571500</xdr:colOff>
      <xdr:row>56</xdr:row>
      <xdr:rowOff>152400</xdr:rowOff>
    </xdr:from>
    <xdr:ext cx="5715000" cy="3533775"/>
    <xdr:pic>
      <xdr:nvPicPr>
        <xdr:cNvPr id="0" name="image1.png" title="Chart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56" sheet="Sheet1"/>
  </cacheSource>
  <cacheFields>
    <cacheField name="Manufacturer" numFmtId="0">
      <sharedItems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Model">
      <sharedItems containsDate="1" containsMixedTypes="1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d v="2026-05-09T00:00:00Z"/>
        <d v="2026-03-09T00:00:00Z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Unit Sales" numFmtId="0">
      <sharedItems containsSemiMixedTypes="0" containsString="0" containsNumber="1" containsInteger="1">
        <n v="16919.0"/>
        <n v="39384.0"/>
        <n v="8588.0"/>
        <n v="20397.0"/>
        <n v="18780.0"/>
        <n v="1380.0"/>
        <n v="19747.0"/>
        <n v="9231.0"/>
        <n v="17527.0"/>
        <n v="91561.0"/>
        <n v="39350.0"/>
        <n v="27851.0"/>
        <n v="83257.0"/>
        <n v="63729.0"/>
        <n v="15943.0"/>
        <n v="6536.0"/>
        <n v="11185.0"/>
        <n v="14785.0"/>
        <n v="145519.0"/>
        <n v="135126.0"/>
        <n v="24629.0"/>
        <n v="42593.0"/>
        <n v="26402.0"/>
        <n v="17947.0"/>
        <n v="32299.0"/>
        <n v="21855.0"/>
        <n v="107995.0"/>
        <n v="7854.0"/>
        <n v="32775.0"/>
        <n v="31148.0"/>
        <n v="32306.0"/>
        <n v="13462.0"/>
        <n v="30696.0"/>
        <n v="76034.0"/>
        <n v="4734.0"/>
        <n v="71186.0"/>
        <n v="88028.0"/>
        <n v="916.0"/>
        <n v="227061.0"/>
        <n v="16767.0"/>
        <n v="31038.0"/>
        <n v="111313.0"/>
        <n v="101323.0"/>
        <n v="181749.0"/>
        <n v="70227.0"/>
        <n v="113369.0"/>
        <n v="35068.0"/>
        <n v="245815.0"/>
        <n v="175670.0"/>
        <n v="63403.0"/>
        <n v="276747.0"/>
        <n v="155787.0"/>
        <n v="125338.0"/>
        <n v="220650.0"/>
        <n v="540561.0"/>
        <n v="199685.0"/>
        <n v="230902.0"/>
        <n v="73203.0"/>
        <n v="12855.0"/>
        <n v="76029.0"/>
        <n v="41184.0"/>
        <n v="66692.0"/>
        <n v="29450.0"/>
        <n v="23713.0"/>
        <n v="15467.0"/>
        <n v="55557.0"/>
        <n v="80556.0"/>
        <n v="157040.0"/>
        <n v="24072.0"/>
        <n v="12698.0"/>
        <n v="3334.0"/>
        <n v="6375.0"/>
        <n v="9126.0"/>
        <n v="51238.0"/>
        <n v="13798.0"/>
        <n v="48911.0"/>
        <n v="22925.0"/>
        <n v="26232.0"/>
        <n v="42541.0"/>
        <n v="55616.0"/>
        <n v="5711.0"/>
        <n v="110.0"/>
        <n v="11337.0"/>
        <n v="39348.0"/>
        <n v="14351.0"/>
        <n v="26529.0"/>
        <n v="67956.0"/>
        <n v="81174.0"/>
        <n v="27609.0"/>
        <n v="20380.0"/>
        <n v="18392.0"/>
        <n v="27602.0"/>
        <n v="16774.0"/>
        <n v="3311.0"/>
        <n v="7998.0"/>
        <n v="1526.0"/>
        <n v="11592.0"/>
        <n v="954.0"/>
        <n v="28976.0"/>
        <n v="42643.0"/>
        <n v="88094.0"/>
        <n v="79853.0"/>
        <n v="27308.0"/>
        <n v="42574.0"/>
        <n v="54158.0"/>
        <n v="65005.0"/>
        <n v="1112.0"/>
        <n v="38554.0"/>
        <n v="80255.0"/>
        <n v="14690.0"/>
        <n v="20017.0"/>
        <n v="24361.0"/>
        <n v="32734.0"/>
        <n v="5240.0"/>
        <n v="24155.0"/>
        <n v="1872.0"/>
        <n v="51645.0"/>
        <n v="131097.0"/>
        <n v="19911.0"/>
        <n v="92364.0"/>
        <n v="35945.0"/>
        <n v="39572.0"/>
        <n v="8982.0"/>
        <n v="1280.0"/>
        <n v="1866.0"/>
        <n v="9191.0"/>
        <n v="12115.0"/>
        <n v="80620.0"/>
        <n v="24546.0"/>
        <n v="5223.0"/>
        <n v="8472.0"/>
        <n v="49989.0"/>
        <n v="47107.0"/>
        <n v="33028.0"/>
        <n v="142535.0"/>
        <n v="247994.0"/>
        <n v="63849.0"/>
        <n v="33269.0"/>
        <n v="84087.0"/>
        <n v="65119.0"/>
        <n v="25106.0"/>
        <n v="68411.0"/>
        <n v="9835.0"/>
        <n v="9761.0"/>
        <n v="83721.0"/>
        <n v="51102.0"/>
        <n v="9569.0"/>
        <n v="5596.0"/>
        <n v="49463.0"/>
        <n v="16957.0"/>
        <n v="3545.0"/>
        <n v="15245.0"/>
        <n v="17531.0"/>
        <n v="3493.0"/>
        <n v="18969.0"/>
      </sharedItems>
    </cacheField>
    <cacheField name="Price" numFmtId="164">
      <sharedItems containsSemiMixedTypes="0" containsString="0" containsNumber="1" containsInteger="1">
        <n v="21500.0"/>
        <n v="28400.0"/>
        <n v="42000.0"/>
        <n v="23990.0"/>
        <n v="33950.0"/>
        <n v="62000.0"/>
        <n v="26990.0"/>
        <n v="33400.0"/>
        <n v="38900.0"/>
        <n v="21975.0"/>
        <n v="25300.0"/>
        <n v="31965.0"/>
        <n v="27885.0"/>
        <n v="39895.0"/>
        <n v="44475.0"/>
        <n v="39665.0"/>
        <n v="31010.0"/>
        <n v="46225.0"/>
        <n v="13260.0"/>
        <n v="16535.0"/>
        <n v="18890.0"/>
        <n v="19390.0"/>
        <n v="24340.0"/>
        <n v="55705.0"/>
        <n v="13960.0"/>
        <n v="9235.0"/>
        <n v="19840.0"/>
        <n v="24495.0"/>
        <n v="22245.0"/>
        <n v="16480.0"/>
        <n v="28340.0"/>
        <n v="29185.0"/>
        <n v="12640.0"/>
        <n v="19045.0"/>
        <n v="20230.0"/>
        <n v="22505.0"/>
        <n v="69725.0"/>
        <n v="19460.0"/>
        <n v="21315.0"/>
        <n v="18575.0"/>
        <n v="16980.0"/>
        <n v="26310.0"/>
        <n v="19565.0"/>
        <n v="12070.0"/>
        <n v="21560.0"/>
        <n v="17035.0"/>
        <n v="17885.0"/>
        <n v="12315.0"/>
        <n v="22195.0"/>
        <n v="31930.0"/>
        <n v="21410.0"/>
        <n v="36135.0"/>
        <n v="12050.0"/>
        <n v="26935.0"/>
        <n v="12885.0"/>
        <n v="15350.0"/>
        <n v="20550.0"/>
        <n v="26600.0"/>
        <n v="26000.0"/>
        <n v="9699.0"/>
        <n v="11799.0"/>
        <n v="14999.0"/>
        <n v="29465.0"/>
        <n v="42800.0"/>
        <n v="14460.0"/>
        <n v="21620.0"/>
        <n v="26895.0"/>
        <n v="31505.0"/>
        <n v="37805.0"/>
        <n v="46305.0"/>
        <n v="54005.0"/>
        <n v="60105.0"/>
        <n v="34605.0"/>
        <n v="39080.0"/>
        <n v="43330.0"/>
        <n v="42660.0"/>
        <n v="13987.0"/>
        <n v="19047.0"/>
        <n v="17357.0"/>
        <n v="24997.0"/>
        <n v="25450.0"/>
        <n v="31807.0"/>
        <n v="22527.0"/>
        <n v="16240.0"/>
        <n v="16540.0"/>
        <n v="19035.0"/>
        <n v="22605.0"/>
        <n v="27560.0"/>
        <n v="22510.0"/>
        <n v="31750.0"/>
        <n v="49900.0"/>
        <n v="69700.0"/>
        <n v="82600.0"/>
        <n v="41000.0"/>
        <n v="41600.0"/>
        <n v="85500.0"/>
        <n v="35300.0"/>
        <n v="13499.0"/>
        <n v="20390.0"/>
        <n v="26249.0"/>
        <n v="26399.0"/>
        <n v="29299.0"/>
        <n v="22799.0"/>
        <n v="17890.0"/>
        <n v="18145.0"/>
        <n v="24150.0"/>
        <n v="18270.0"/>
        <n v="36229.0"/>
        <n v="31598.0"/>
        <n v="25345.0"/>
        <n v="16080.0"/>
        <n v="18850.0"/>
        <n v="43000.0"/>
        <n v="21610.0"/>
        <n v="19720.0"/>
        <n v="25310.0"/>
        <n v="21665.0"/>
        <n v="23755.0"/>
        <n v="25635.0"/>
        <n v="41430.0"/>
        <n v="71020.0"/>
        <n v="74970.0"/>
        <n v="33120.0"/>
        <n v="26100.0"/>
        <n v="10685.0"/>
        <n v="12535.0"/>
        <n v="14290.0"/>
        <n v="18835.0"/>
        <n v="15010.0"/>
        <n v="22695.0"/>
        <n v="20095.0"/>
        <n v="13108.0"/>
        <n v="17518.0"/>
        <n v="25545.0"/>
        <n v="16875.0"/>
        <n v="11528.0"/>
        <n v="22368.0"/>
        <n v="16888.0"/>
        <n v="22288.0"/>
        <n v="51728.0"/>
        <n v="14900.0"/>
        <n v="16700.0"/>
        <n v="21200.0"/>
        <n v="19990.0"/>
        <n v="17500.0"/>
        <n v="15900.0"/>
        <n v="23400.0"/>
        <n v="24400.0"/>
        <n v="27500.0"/>
        <n v="28800.0"/>
        <n v="45500.0"/>
        <n v="36000.0"/>
      </sharedItems>
    </cacheField>
    <cacheField name="Year Resale Value" numFmtId="164">
      <sharedItems containsSemiMixedTypes="0" containsString="0" containsNumber="1" containsInteger="1">
        <n v="16360.0"/>
        <n v="19875.0"/>
        <n v="29725.0"/>
        <n v="22255.0"/>
        <n v="23555.0"/>
        <n v="39000.0"/>
        <n v="24500.0"/>
        <n v="28675.0"/>
        <n v="36125.0"/>
        <n v="12475.0"/>
        <n v="13740.0"/>
        <n v="20190.0"/>
        <n v="13360.0"/>
        <n v="22525.0"/>
        <n v="27100.0"/>
        <n v="25725.0"/>
        <n v="18225.0"/>
        <n v="31245.0"/>
        <n v="9250.0"/>
        <n v="11225.0"/>
        <n v="10310.0"/>
        <n v="11525.0"/>
        <n v="13025.0"/>
        <n v="36225.0"/>
        <n v="9125.0"/>
        <n v="5160.0"/>
        <n v="11550.0"/>
        <n v="12360.0"/>
        <n v="14180.0"/>
        <n v="13725.0"/>
        <n v="12640.0"/>
        <n v="17325.0"/>
        <n v="18425.0"/>
        <n v="7750.0"/>
        <n v="12545.0"/>
        <n v="10185.0"/>
        <n v="12275.0"/>
        <n v="58470.0"/>
        <n v="15060.0"/>
        <n v="15510.0"/>
        <n v="13425.0"/>
        <n v="11260.0"/>
        <n v="21436.0"/>
        <n v="12025.0"/>
        <n v="7425.0"/>
        <n v="12760.0"/>
        <n v="8835.0"/>
        <n v="10055.0"/>
        <n v="8670.0"/>
        <n v="14210.0"/>
        <n v="16640.0"/>
        <n v="13175.0"/>
        <n v="23575.0"/>
        <n v="7850.0"/>
        <n v="15075.0"/>
        <n v="9850.0"/>
        <n v="13210.0"/>
        <n v="17710.0"/>
        <n v="17525.0"/>
        <n v="19490.0"/>
        <n v="5860.0"/>
        <n v="7825.0"/>
        <n v="8910.0"/>
        <n v="19690.0"/>
        <n v="33219.0"/>
        <n v="13475.0"/>
        <n v="13775.0"/>
        <n v="18810.0"/>
        <n v="26975.0"/>
        <n v="32075.0"/>
        <n v="38955.0"/>
        <n v="40375.0"/>
        <n v="43870.0"/>
        <n v="29140.0"/>
        <n v="20525.0"/>
        <n v="21725.0"/>
        <n v="20765.0"/>
        <n v="8325.0"/>
        <n v="10395.0"/>
        <n v="10595.0"/>
        <n v="16575.0"/>
        <n v="20940.0"/>
        <n v="19125.0"/>
        <n v="13880.0"/>
        <n v="8800.0"/>
        <n v="13890.0"/>
        <n v="11030.0"/>
        <n v="14875.0"/>
        <n v="20430.0"/>
        <n v="14795.0"/>
        <n v="26050.0"/>
        <n v="41450.0"/>
        <n v="50375.0"/>
        <n v="58600.0"/>
        <n v="32436.0"/>
        <n v="28635.0"/>
        <n v="29200.0"/>
        <n v="63423.0"/>
        <n v="28720.0"/>
        <n v="8450.0"/>
        <n v="11295.0"/>
        <n v="15125.0"/>
        <n v="15380.0"/>
        <n v="17810.0"/>
        <n v="13093.0"/>
        <n v="10670.0"/>
        <n v="11240.0"/>
        <n v="17100.0"/>
        <n v="11459.0"/>
        <n v="19890.0"/>
        <n v="19925.0"/>
        <n v="15240.0"/>
        <n v="9800.0"/>
        <n v="30434.0"/>
        <n v="13790.0"/>
        <n v="10290.0"/>
        <n v="17805.0"/>
        <n v="14010.0"/>
        <n v="13225.0"/>
        <n v="14215.0"/>
        <n v="41250.0"/>
        <n v="60625.0"/>
        <n v="67550.0"/>
        <n v="22789.0"/>
        <n v="18255.0"/>
        <n v="9200.0"/>
        <n v="10590.0"/>
        <n v="10790.0"/>
        <n v="13700.0"/>
        <n v="9900.0"/>
        <n v="16770.0"/>
        <n v="14832.0"/>
        <n v="10025.0"/>
        <n v="13245.0"/>
        <n v="18140.0"/>
        <n v="15445.0"/>
        <n v="9575.0"/>
        <n v="18689.0"/>
        <n v="13325.0"/>
        <n v="19425.0"/>
        <n v="34080.0"/>
        <n v="11425.0"/>
        <n v="13240.0"/>
        <n v="16725.0"/>
        <n v="13760.0"/>
        <n v="11986.0"/>
        <n v="14334.0"/>
        <n v="15252.0"/>
        <n v="18900.0"/>
        <n v="20223.0"/>
        <n v="34175.0"/>
        <n v="26403.0"/>
      </sharedItems>
    </cacheField>
    <cacheField name="Retention %" numFmtId="9">
      <sharedItems containsSemiMixedTypes="0" containsString="0" containsNumber="1">
        <n v="0.76"/>
        <n v="0.7"/>
        <n v="0.71"/>
        <n v="0.93"/>
        <n v="0.69"/>
        <n v="0.63"/>
        <n v="0.91"/>
        <n v="0.86"/>
        <n v="0.57"/>
        <n v="0.54"/>
        <n v="0.48"/>
        <n v="0.56"/>
        <n v="0.61"/>
        <n v="0.65"/>
        <n v="0.59"/>
        <n v="0.68"/>
        <n v="0.55"/>
        <n v="0.62"/>
        <n v="0.58"/>
        <n v="0.77"/>
        <n v="0.66"/>
        <n v="0.5"/>
        <n v="0.84"/>
        <n v="0.73"/>
        <n v="0.72"/>
        <n v="0.81"/>
        <n v="0.52"/>
        <n v="0.64"/>
        <n v="0.75"/>
        <n v="0.6"/>
        <n v="0.67"/>
        <n v="0.78"/>
        <n v="0.85"/>
        <n v="0.53"/>
        <n v="0.49"/>
        <n v="0.82"/>
        <n v="0.74"/>
        <n v="0.83"/>
        <n v="1.0"/>
        <n v="0.9"/>
        <n v="0.92"/>
        <n v="0.79"/>
        <n v="0.87"/>
      </sharedItems>
    </cacheField>
    <cacheField name="Retention Value" numFmtId="0">
      <sharedItems>
        <s v="GOOD"/>
        <s v="POOR"/>
      </sharedItems>
    </cacheField>
    <cacheField name="Engine Size" numFmtId="0">
      <sharedItems containsSemiMixedTypes="0" containsString="0" containsNumber="1">
        <n v="1.8"/>
        <n v="3.2"/>
        <n v="3.5"/>
        <n v="2.8"/>
        <n v="4.2"/>
        <n v="2.5"/>
        <n v="3.1"/>
        <n v="3.8"/>
        <n v="4.6"/>
        <n v="3.0"/>
        <n v="5.7"/>
        <n v="2.2"/>
        <n v="3.4"/>
        <n v="1.0"/>
        <n v="2.7"/>
        <n v="2.0"/>
        <n v="8.0"/>
        <n v="5.2"/>
        <n v="3.9"/>
        <n v="2.4"/>
        <n v="4.0"/>
        <n v="1.6"/>
        <n v="2.3"/>
        <n v="1.5"/>
        <n v="4.7"/>
        <n v="5.4"/>
        <n v="3.3"/>
        <n v="4.3"/>
        <n v="5.0"/>
        <n v="1.9"/>
        <n v="2.9"/>
      </sharedItems>
    </cacheField>
    <cacheField name="Horsepower" numFmtId="0">
      <sharedItems containsSemiMixedTypes="0" containsString="0" containsNumber="1" containsInteger="1">
        <n v="140.0"/>
        <n v="225.0"/>
        <n v="210.0"/>
        <n v="150.0"/>
        <n v="200.0"/>
        <n v="310.0"/>
        <n v="170.0"/>
        <n v="193.0"/>
        <n v="175.0"/>
        <n v="240.0"/>
        <n v="205.0"/>
        <n v="275.0"/>
        <n v="255.0"/>
        <n v="115.0"/>
        <n v="180.0"/>
        <n v="345.0"/>
        <n v="120.0"/>
        <n v="55.0"/>
        <n v="163.0"/>
        <n v="168.0"/>
        <n v="132.0"/>
        <n v="253.0"/>
        <n v="202.0"/>
        <n v="450.0"/>
        <n v="230.0"/>
        <n v="110.0"/>
        <n v="190.0"/>
        <n v="155.0"/>
        <n v="107.0"/>
        <n v="119.0"/>
        <n v="220.0"/>
        <n v="106.0"/>
        <n v="135.0"/>
        <n v="146.0"/>
        <n v="92.0"/>
        <n v="148.0"/>
        <n v="227.0"/>
        <n v="195.0"/>
        <n v="300.0"/>
        <n v="290.0"/>
        <n v="215.0"/>
        <n v="113.0"/>
        <n v="154.0"/>
        <n v="145.0"/>
        <n v="161.0"/>
        <n v="173.0"/>
        <n v="125.0"/>
        <n v="153.0"/>
        <n v="185.0"/>
        <n v="221.0"/>
        <n v="302.0"/>
        <n v="126.0"/>
        <n v="222.0"/>
        <n v="250.0"/>
        <n v="217.0"/>
        <n v="100.0"/>
        <n v="124.0"/>
        <n v="137.0"/>
        <n v="165.0"/>
        <n v="133.0"/>
        <n v="142.0"/>
        <n v="194.0"/>
        <n v="127.0"/>
        <n v="160.0"/>
        <n v="236.0"/>
        <n v="201.0"/>
      </sharedItems>
    </cacheField>
    <cacheField name="HP Level" numFmtId="0">
      <sharedItems>
        <s v="Medium HP"/>
        <s v="High HP"/>
        <s v="Low HP"/>
      </sharedItems>
    </cacheField>
    <cacheField name="Vehicle_type" numFmtId="0">
      <sharedItems>
        <s v="Passenger"/>
        <s v="Car"/>
      </sharedItems>
    </cacheField>
    <cacheField name="Fuel Efficiency" numFmtId="0">
      <sharedItems containsSemiMixedTypes="0" containsString="0" containsNumber="1" containsInteger="1">
        <n v="28.0"/>
        <n v="25.0"/>
        <n v="22.0"/>
        <n v="27.0"/>
        <n v="21.0"/>
        <n v="26.0"/>
        <n v="24.0"/>
        <n v="23.0"/>
        <n v="15.0"/>
        <n v="33.0"/>
        <n v="45.0"/>
        <n v="29.0"/>
        <n v="16.0"/>
        <n v="17.0"/>
        <n v="19.0"/>
        <n v="30.0"/>
        <n v="18.0"/>
        <n v="32.0"/>
        <n v="31.0"/>
        <n v="20.0"/>
      </sharedItems>
    </cacheField>
    <cacheField name="Power Perf Factor" numFmtId="0">
      <sharedItems containsSemiMixedTypes="0" containsString="0" containsNumber="1">
        <n v="58.28014952"/>
        <n v="91.37077766"/>
        <n v="91.38977933"/>
        <n v="62.7776392"/>
        <n v="84.56510502"/>
        <n v="134.6568582"/>
        <n v="71.19120671"/>
        <n v="81.87706856"/>
        <n v="83.9987238"/>
        <n v="71.18145132"/>
        <n v="95.63670253"/>
        <n v="85.82840825"/>
        <n v="84.25452581"/>
        <n v="113.8545976"/>
        <n v="115.6213578"/>
        <n v="113.7658739"/>
        <n v="83.48309358"/>
        <n v="109.5091165"/>
        <n v="46.36334747"/>
        <n v="67.31446216"/>
        <n v="69.9913956"/>
        <n v="72.03091719"/>
        <n v="81.11854333"/>
        <n v="141.14115"/>
        <n v="48.2976361"/>
        <n v="23.27627233"/>
        <n v="71.83803944"/>
        <n v="65.95718396"/>
        <n v="69.52135505"/>
        <n v="80.02378204"/>
        <n v="53.56619987"/>
        <n v="101.3292807"/>
        <n v="101.6552441"/>
        <n v="52.08489875"/>
        <n v="65.65050834"/>
        <n v="67.87610784"/>
        <n v="80.83147017"/>
        <n v="188.144323"/>
        <n v="90.21170005"/>
        <n v="71.13529161"/>
        <n v="70.07832154"/>
        <n v="49.64500177"/>
        <n v="92.85412522"/>
        <n v="61.22700031"/>
        <n v="44.08370946"/>
        <n v="76.50918456"/>
        <n v="67.35101072"/>
        <n v="62.5037395"/>
        <n v="43.11713201"/>
        <n v="80.49953671"/>
        <n v="87.63549578"/>
        <n v="62.09504839"/>
        <n v="100.0248023"/>
        <n v="47.38953131"/>
        <n v="89.40193473"/>
        <n v="42.87909734"/>
        <n v="54.26954829"/>
        <n v="60.08796662"/>
        <n v="83.6025008"/>
        <n v="85.21769134"/>
        <n v="36.67228358"/>
        <n v="54.59004516"/>
        <n v="58.758249"/>
        <n v="92.43688923"/>
        <n v="102.1789848"/>
        <n v="48.67289791"/>
        <n v="76.58443962"/>
        <n v="80.38777912"/>
        <n v="87.21100104"/>
        <n v="94.9466984"/>
        <n v="125.0133574"/>
        <n v="124.4467163"/>
        <n v="105.760458"/>
        <n v="91.94380156"/>
        <n v="113.5402069"/>
        <n v="93.9579169"/>
        <n v="123.9720467"/>
        <n v="45.83218056"/>
        <n v="62.44196235"/>
        <n v="58.60677292"/>
        <n v="84.83077858"/>
        <n v="67.54415494"/>
        <n v="83.92081504"/>
        <n v="70.66094179"/>
        <n v="50.99774761"/>
        <n v="51.11347426"/>
        <n v="62.23996663"/>
        <n v="80.65769646"/>
        <n v="85.94974425"/>
        <n v="69.671461"/>
        <n v="78.28073088"/>
        <n v="98.2497375"/>
        <n v="125.2738757"/>
        <n v="139.9822936"/>
        <n v="82.80736193"/>
        <n v="81.84896924"/>
        <n v="92.92579177"/>
        <n v="141.1009845"/>
        <n v="90.49553213"/>
        <n v="50.24197791"/>
        <n v="63.31372783"/>
        <n v="89.42782031"/>
        <n v="71.17166413"/>
        <n v="72.29035508"/>
        <n v="69.78294434"/>
        <n v="67.88927059"/>
        <n v="60.86161155"/>
        <n v="86.27252291"/>
        <n v="60.72744693"/>
        <n v="103.4416926"/>
        <n v="80.51167259"/>
        <n v="76.09657042"/>
        <n v="53.41189767"/>
        <n v="60.95118512"/>
        <n v="106.9844563"/>
        <n v="62.0158703"/>
        <n v="70.38973726"/>
        <n v="81.49272616"/>
        <n v="78.31816813"/>
        <n v="82.6613556"/>
        <n v="76.20843952"/>
        <n v="93.4373307"/>
        <n v="134.3909754"/>
        <n v="135.9147096"/>
        <n v="73.50377819"/>
        <n v="76.02304771"/>
        <n v="39.98642475"/>
        <n v="40.70007242"/>
        <n v="49.86577367"/>
        <n v="56.29524304"/>
        <n v="54.81972825"/>
        <n v="67.7659076"/>
        <n v="66.76294331"/>
        <n v="47.96897242"/>
        <n v="54.37241965"/>
        <n v="84.91189826"/>
        <n v="56.49603034"/>
        <n v="55.29711658"/>
        <n v="78.02721947"/>
        <n v="51.95510887"/>
        <n v="62.35557713"/>
        <n v="102.5289842"/>
        <n v="46.94387676"/>
        <n v="47.63823666"/>
        <n v="61.70138136"/>
        <n v="48.90737225"/>
        <n v="47.94684106"/>
        <n v="47.32963226"/>
        <n v="66.1130568"/>
        <n v="66.4988123"/>
        <n v="70.65449545"/>
        <n v="71.1559776"/>
        <n v="101.6233572"/>
        <n v="85.73565451"/>
      </sharedItems>
    </cacheField>
    <cacheField name="Wheelbase" numFmtId="0">
      <sharedItems containsSemiMixedTypes="0" containsString="0" containsNumber="1">
        <n v="101.2"/>
        <n v="108.1"/>
        <n v="114.6"/>
        <n v="102.6"/>
        <n v="108.7"/>
        <n v="113.0"/>
        <n v="107.3"/>
        <n v="111.4"/>
        <n v="109.0"/>
        <n v="113.8"/>
        <n v="112.2"/>
        <n v="115.3"/>
        <n v="108.0"/>
        <n v="107.4"/>
        <n v="117.5"/>
        <n v="104.1"/>
        <n v="107.0"/>
        <n v="107.5"/>
        <n v="110.5"/>
        <n v="101.1"/>
        <n v="104.5"/>
        <n v="97.1"/>
        <n v="93.1"/>
        <n v="103.7"/>
        <n v="106.0"/>
        <n v="105.0"/>
        <n v="96.2"/>
        <n v="138.7"/>
        <n v="109.6"/>
        <n v="127.2"/>
        <n v="131.0"/>
        <n v="115.7"/>
        <n v="113.3"/>
        <n v="98.4"/>
        <n v="101.3"/>
        <n v="106.5"/>
        <n v="108.5"/>
        <n v="103.0"/>
        <n v="114.7"/>
        <n v="111.6"/>
        <n v="120.7"/>
        <n v="119.0"/>
        <n v="138.5"/>
        <n v="103.2"/>
        <n v="106.9"/>
        <n v="106.4"/>
        <n v="118.1"/>
        <n v="96.1"/>
        <n v="100.4"/>
        <n v="106.3"/>
        <n v="108.3"/>
        <n v="114.5"/>
        <n v="93.4"/>
        <n v="101.4"/>
        <n v="105.9"/>
        <n v="105.1"/>
        <n v="110.2"/>
        <n v="117.7"/>
        <n v="100.8"/>
        <n v="107.1"/>
        <n v="97.2"/>
        <n v="111.5"/>
        <n v="121.5"/>
        <n v="99.0"/>
        <n v="94.5"/>
        <n v="113.6"/>
        <n v="111.0"/>
        <n v="99.8"/>
        <n v="103.1"/>
        <n v="104.3"/>
        <n v="116.1"/>
        <n v="120.0"/>
        <n v="95.2"/>
        <n v="92.6"/>
        <n v="102.4"/>
        <n v="103.5"/>
        <n v="99.4"/>
        <n v="97.0"/>
        <n v="105.2"/>
        <n v="103.3"/>
        <n v="114.2"/>
        <n v="94.9"/>
        <n v="105.3"/>
        <n v="98.9"/>
        <n v="97.4"/>
        <n v="100.5"/>
        <n v="104.9"/>
        <n v="109.9"/>
      </sharedItems>
    </cacheField>
    <cacheField name="Width" numFmtId="0">
      <sharedItems containsSemiMixedTypes="0" containsString="0" containsNumber="1">
        <n v="67.3"/>
        <n v="70.3"/>
        <n v="71.4"/>
        <n v="68.2"/>
        <n v="76.1"/>
        <n v="74.0"/>
        <n v="68.4"/>
        <n v="68.5"/>
        <n v="70.9"/>
        <n v="72.7"/>
        <n v="74.7"/>
        <n v="73.5"/>
        <n v="74.5"/>
        <n v="75.0"/>
        <n v="75.5"/>
        <n v="77.0"/>
        <n v="67.9"/>
        <n v="69.4"/>
        <n v="72.5"/>
        <n v="74.1"/>
        <n v="73.6"/>
        <n v="66.7"/>
        <n v="62.6"/>
        <n v="73.0"/>
        <n v="69.7"/>
        <n v="69.2"/>
        <n v="74.4"/>
        <n v="71.0"/>
        <n v="69.1"/>
        <n v="75.7"/>
        <n v="79.3"/>
        <n v="78.8"/>
        <n v="71.5"/>
        <n v="71.7"/>
        <n v="76.8"/>
        <n v="67.0"/>
        <n v="73.1"/>
        <n v="66.9"/>
        <n v="78.2"/>
        <n v="70.2"/>
        <n v="76.6"/>
        <n v="78.7"/>
        <n v="79.1"/>
        <n v="67.1"/>
        <n v="68.9"/>
        <n v="70.4"/>
        <n v="75.6"/>
        <n v="65.7"/>
        <n v="71.6"/>
        <n v="72.3"/>
        <n v="70.5"/>
        <n v="72.0"/>
        <n v="76.4"/>
        <n v="79.9"/>
        <n v="66.5"/>
        <n v="72.4"/>
        <n v="69.9"/>
        <n v="69.6"/>
        <n v="74.9"/>
        <n v="67.7"/>
        <n v="70.8"/>
        <n v="71.3"/>
        <n v="67.5"/>
        <n v="67.8"/>
        <n v="72.2"/>
        <n v="70.1"/>
        <n v="76.3"/>
        <n v="72.6"/>
        <n v="69.5"/>
        <n v="70.6"/>
        <n v="67.4"/>
        <n v="66.4"/>
        <n v="69.0"/>
        <n v="68.3"/>
        <n v="73.4"/>
        <n v="67.6"/>
        <n v="69.3"/>
        <n v="72.1"/>
      </sharedItems>
    </cacheField>
    <cacheField name="Length" numFmtId="0">
      <sharedItems containsSemiMixedTypes="0" containsString="0" containsNumber="1">
        <n v="172.4"/>
        <n v="192.9"/>
        <n v="196.6"/>
        <n v="178.0"/>
        <n v="192.0"/>
        <n v="198.2"/>
        <n v="176.0"/>
        <n v="188.0"/>
        <n v="194.6"/>
        <n v="196.2"/>
        <n v="206.8"/>
        <n v="200.0"/>
        <n v="207.2"/>
        <n v="201.0"/>
        <n v="200.6"/>
        <n v="194.8"/>
        <n v="201.2"/>
        <n v="180.9"/>
        <n v="190.4"/>
        <n v="200.9"/>
        <n v="197.9"/>
        <n v="193.2"/>
        <n v="179.7"/>
        <n v="174.3"/>
        <n v="149.4"/>
        <n v="190.9"/>
        <n v="193.0"/>
        <n v="209.1"/>
        <n v="186.0"/>
        <n v="207.7"/>
        <n v="197.8"/>
        <n v="174.4"/>
        <n v="190.2"/>
        <n v="203.7"/>
        <n v="176.7"/>
        <n v="224.2"/>
        <n v="192.6"/>
        <n v="208.5"/>
        <n v="215.0"/>
        <n v="193.5"/>
        <n v="186.3"/>
        <n v="174.7"/>
        <n v="183.2"/>
        <n v="184.6"/>
        <n v="197.6"/>
        <n v="174.8"/>
        <n v="212.0"/>
        <n v="190.7"/>
        <n v="204.6"/>
        <n v="200.7"/>
        <n v="224.5"/>
        <n v="175.1"/>
        <n v="188.8"/>
        <n v="177.6"/>
        <n v="178.2"/>
        <n v="166.7"/>
        <n v="174.0"/>
        <n v="185.4"/>
        <n v="193.7"/>
        <n v="191.3"/>
        <n v="152.0"/>
        <n v="167.5"/>
        <n v="181.5"/>
        <n v="189.2"/>
        <n v="196.7"/>
        <n v="192.5"/>
        <n v="180.1"/>
        <n v="215.3"/>
        <n v="204.8"/>
        <n v="173.6"/>
        <n v="175.4"/>
        <n v="187.8"/>
        <n v="194.1"/>
        <n v="180.3"/>
        <n v="186.6"/>
        <n v="178.3"/>
        <n v="184.8"/>
        <n v="185.0"/>
        <n v="199.7"/>
        <n v="190.1"/>
        <n v="194.7"/>
        <n v="177.4"/>
        <n v="189.4"/>
        <n v="203.1"/>
        <n v="177.1"/>
        <n v="157.9"/>
        <n v="157.3"/>
        <n v="180.6"/>
        <n v="177.5"/>
        <n v="183.5"/>
        <n v="190.5"/>
        <n v="182.6"/>
        <n v="196.1"/>
        <n v="195.9"/>
        <n v="186.7"/>
        <n v="205.4"/>
        <n v="181.2"/>
        <n v="201.4"/>
        <n v="165.4"/>
        <n v="181.9"/>
        <n v="193.4"/>
        <n v="196.5"/>
        <n v="202.5"/>
        <n v="201.3"/>
        <n v="171.0"/>
        <n v="174.5"/>
        <n v="182.2"/>
        <n v="176.9"/>
        <n v="180.0"/>
        <n v="185.8"/>
        <n v="175.2"/>
        <n v="188.5"/>
        <n v="191.9"/>
        <n v="170.5"/>
        <n v="178.7"/>
        <n v="163.8"/>
        <n v="183.3"/>
        <n v="163.3"/>
        <n v="172.3"/>
        <n v="184.1"/>
        <n v="160.4"/>
        <n v="161.1"/>
        <n v="176.6"/>
        <n v="185.9"/>
        <n v="186.2"/>
        <n v="185.7"/>
        <n v="189.8"/>
      </sharedItems>
    </cacheField>
    <cacheField name="Curb Weight" numFmtId="0">
      <sharedItems containsSemiMixedTypes="0" containsString="0" containsNumber="1">
        <n v="2.639"/>
        <n v="3.517"/>
        <n v="3.85"/>
        <n v="2.998"/>
        <n v="3.561"/>
        <n v="3.902"/>
        <n v="3.179"/>
        <n v="3.197"/>
        <n v="3.472"/>
        <n v="3.368"/>
        <n v="3.543"/>
        <n v="3.778"/>
        <n v="3.591"/>
        <n v="3.978"/>
        <n v="3.875"/>
        <n v="3.843"/>
        <n v="3.77"/>
        <n v="5.572"/>
        <n v="2.676"/>
        <n v="3.051"/>
        <n v="3.33"/>
        <n v="3.34"/>
        <n v="3.5"/>
        <n v="3.21"/>
        <n v="2.398"/>
        <n v="1.895"/>
        <n v="3.389"/>
        <n v="2.967"/>
        <n v="3.332"/>
        <n v="3.452"/>
        <n v="2.911"/>
        <n v="3.564"/>
        <n v="3.567"/>
        <n v="2.567"/>
        <n v="2.879"/>
        <n v="3.058"/>
        <n v="3.489"/>
        <n v="3.375"/>
        <n v="4.47"/>
        <n v="4.245"/>
        <n v="4.298"/>
        <n v="3.557"/>
        <n v="4.394"/>
        <n v="3.533"/>
        <n v="2.468"/>
        <n v="3.203"/>
        <n v="2.769"/>
        <n v="2.564"/>
        <n v="3.908"/>
        <n v="3.876"/>
        <n v="3.761"/>
        <n v="4.808"/>
        <n v="3.086"/>
        <n v="4.241"/>
        <n v="2.339"/>
        <n v="2.932"/>
        <n v="3.219"/>
        <n v="3.857"/>
        <n v="4.288"/>
        <n v="2.24"/>
        <n v="2.626"/>
        <n v="3.072"/>
        <n v="3.342"/>
        <n v="3.65"/>
        <n v="3.045"/>
        <n v="3.194"/>
        <n v="3.88"/>
        <n v="3.373"/>
        <n v="3.638"/>
        <n v="3.693"/>
        <n v="3.89"/>
        <n v="5.401"/>
        <n v="3.9"/>
        <n v="3.868"/>
        <n v="4.121"/>
        <n v="5.393"/>
        <n v="2.25"/>
        <n v="2.91"/>
        <n v="2.945"/>
        <n v="3.443"/>
        <n v="3.131"/>
        <n v="4.52"/>
        <n v="3.51"/>
        <n v="2.892"/>
        <n v="3.379"/>
        <n v="3.958"/>
        <n v="3.944"/>
        <n v="3.25"/>
        <n v="3.823"/>
        <n v="4.133"/>
        <n v="4.125"/>
        <n v="3.055"/>
        <n v="2.975"/>
        <n v="3.213"/>
        <n v="4.115"/>
        <n v="4.387"/>
        <n v="2.593"/>
        <n v="3.012"/>
        <n v="3.294"/>
        <n v="3.991"/>
        <n v="3.947"/>
        <n v="3.821"/>
        <n v="3.217"/>
        <n v="3.102"/>
        <n v="3.455"/>
        <n v="2.958"/>
        <n v="3.967"/>
        <n v="4.068"/>
        <n v="3.948"/>
        <n v="2.559"/>
        <n v="2.942"/>
        <n v="3.528"/>
        <n v="2.85"/>
        <n v="2.906"/>
        <n v="3.091"/>
        <n v="3.492"/>
        <n v="3.396"/>
        <n v="3.59"/>
        <n v="3.942"/>
        <n v="2.778"/>
        <n v="3.032"/>
        <n v="3.075"/>
        <n v="3.28"/>
        <n v="2.99"/>
        <n v="2.332"/>
        <n v="2.367"/>
        <n v="2.452"/>
        <n v="3.415"/>
        <n v="3.125"/>
        <n v="2.42"/>
        <n v="3.417"/>
        <n v="2.425"/>
        <n v="2.58"/>
        <n v="3.759"/>
        <n v="2.668"/>
        <n v="3.44"/>
        <n v="5.115"/>
        <n v="2.767"/>
        <n v="2.853"/>
        <n v="3.043"/>
        <n v="3.079"/>
        <n v="2.762"/>
        <n v="3.042"/>
        <n v="3.208"/>
        <n v="3.259"/>
        <n v="3.601"/>
        <n v="3.6"/>
      </sharedItems>
    </cacheField>
    <cacheField name="Fuel Capacity" numFmtId="0">
      <sharedItems containsSemiMixedTypes="0" containsString="0" containsNumber="1">
        <n v="13.2"/>
        <n v="17.2"/>
        <n v="18.0"/>
        <n v="16.4"/>
        <n v="18.5"/>
        <n v="23.7"/>
        <n v="16.6"/>
        <n v="17.5"/>
        <n v="19.0"/>
        <n v="30.0"/>
        <n v="14.3"/>
        <n v="15.0"/>
        <n v="17.0"/>
        <n v="16.8"/>
        <n v="19.1"/>
        <n v="10.3"/>
        <n v="15.9"/>
        <n v="16.0"/>
        <n v="12.5"/>
        <n v="26.0"/>
        <n v="32.0"/>
        <n v="22.0"/>
        <n v="25.0"/>
        <n v="20.0"/>
        <n v="12.7"/>
        <n v="15.7"/>
        <n v="21.0"/>
        <n v="25.1"/>
        <n v="11.9"/>
        <n v="17.1"/>
        <n v="15.3"/>
        <n v="21.1"/>
        <n v="14.5"/>
        <n v="18.4"/>
        <n v="20.5"/>
        <n v="19.8"/>
        <n v="22.5"/>
        <n v="25.4"/>
        <n v="16.3"/>
        <n v="24.3"/>
        <n v="19.5"/>
        <n v="23.2"/>
        <n v="14.0"/>
        <n v="19.4"/>
        <n v="15.2"/>
        <n v="12.0"/>
        <n v="16.9"/>
        <n v="12.1"/>
        <n v="13.1"/>
        <n v="15.1"/>
        <n v="20.9"/>
        <n v="13.7"/>
        <n v="14.6"/>
        <n v="15.8"/>
        <n v="17.9"/>
      </sharedItems>
    </cacheField>
    <cacheField name="Latest Launch" numFmtId="165">
      <sharedItems containsSemiMixedTypes="0" containsDate="1" containsString="0">
        <d v="2012-02-02T00:00:00Z"/>
        <d v="2011-06-03T00:00:00Z"/>
        <d v="2011-03-10T00:00:00Z"/>
        <d v="2011-10-08T00:00:00Z"/>
        <d v="2011-08-09T00:00:00Z"/>
        <d v="2012-02-27T00:00:00Z"/>
        <d v="2011-06-28T00:00:00Z"/>
        <d v="2012-01-29T00:00:00Z"/>
        <d v="2011-04-04T00:00:00Z"/>
        <d v="2011-11-02T00:00:00Z"/>
        <d v="2011-09-03T00:00:00Z"/>
        <d v="2012-03-23T00:00:00Z"/>
        <d v="2011-07-23T00:00:00Z"/>
        <d v="2012-02-23T00:00:00Z"/>
        <d v="2011-04-29T00:00:00Z"/>
        <d v="2011-11-27T00:00:00Z"/>
        <d v="2011-09-28T00:00:00Z"/>
        <d v="2012-04-17T00:00:00Z"/>
        <d v="2011-08-17T00:00:00Z"/>
        <d v="2012-03-19T00:00:00Z"/>
        <d v="2011-05-24T00:00:00Z"/>
        <d v="2011-12-22T00:00:00Z"/>
        <d v="2011-10-23T00:00:00Z"/>
        <d v="2012-05-12T00:00:00Z"/>
        <d v="2011-09-11T00:00:00Z"/>
        <d v="2012-04-13T00:00:00Z"/>
        <d v="2011-06-18T00:00:00Z"/>
        <d v="2012-01-16T00:00:00Z"/>
        <d v="2011-11-17T00:00:00Z"/>
        <d v="2012-06-06T00:00:00Z"/>
        <d v="2011-10-06T00:00:00Z"/>
        <d v="2012-05-08T00:00:00Z"/>
        <d v="2012-02-10T00:00:00Z"/>
        <d v="2011-12-12T00:00:00Z"/>
        <d v="2012-07-01T00:00:00Z"/>
        <d v="2011-10-31T00:00:00Z"/>
        <d v="2012-06-02T00:00:00Z"/>
        <d v="2011-08-07T00:00:00Z"/>
        <d v="2012-03-06T00:00:00Z"/>
        <d v="2012-01-06T00:00:00Z"/>
        <d v="2012-07-26T00:00:00Z"/>
        <d v="2011-11-25T00:00:00Z"/>
        <d v="2012-06-27T00:00:00Z"/>
        <d v="2011-09-01T00:00:00Z"/>
        <d v="2012-03-31T00:00:00Z"/>
        <d v="2012-01-31T00:00:00Z"/>
        <d v="2012-08-20T00:00:00Z"/>
        <d v="2011-12-20T00:00:00Z"/>
        <d v="2012-07-22T00:00:00Z"/>
        <d v="2011-09-26T00:00:00Z"/>
        <d v="2012-04-25T00:00:00Z"/>
        <d v="2012-02-25T00:00:00Z"/>
        <d v="2012-09-14T00:00:00Z"/>
        <d v="2012-01-14T00:00:00Z"/>
        <d v="2012-08-16T00:00:00Z"/>
        <d v="2011-10-21T00:00:00Z"/>
        <d v="2012-05-20T00:00:00Z"/>
        <d v="2012-03-21T00:00:00Z"/>
        <d v="2012-10-09T00:00:00Z"/>
        <d v="2012-02-08T00:00:00Z"/>
        <d v="2012-09-10T00:00:00Z"/>
        <d v="2011-11-15T00:00:00Z"/>
        <d v="2012-06-14T00:00:00Z"/>
        <d v="2012-04-15T00:00:00Z"/>
        <d v="2012-11-03T00:00:00Z"/>
        <d v="2012-03-04T00:00:00Z"/>
        <d v="2012-10-05T00:00:00Z"/>
        <d v="2011-12-10T00:00:00Z"/>
        <d v="2012-07-09T00:00:00Z"/>
        <d v="2012-05-10T00:00:00Z"/>
        <d v="2012-11-28T00:00:00Z"/>
        <d v="2012-03-29T00:00:00Z"/>
        <d v="2012-10-30T00:00:00Z"/>
        <d v="2012-01-04T00:00:00Z"/>
        <d v="2012-08-03T00:00:00Z"/>
        <d v="2012-06-04T00:00:00Z"/>
        <d v="2012-12-23T00:00:00Z"/>
        <d v="2012-04-23T00:00:00Z"/>
        <d v="2012-11-24T00:00:00Z"/>
        <d v="2012-08-28T00:00:00Z"/>
        <d v="2012-06-29T00:00:00Z"/>
        <d v="2012-01-17T00:00:00Z"/>
        <d v="2012-05-18T00:00:00Z"/>
        <d v="2012-12-19T00:00:00Z"/>
        <d v="2012-09-22T00:00:00Z"/>
        <d v="2012-07-24T00:00:00Z"/>
        <d v="2008-02-13T00:00:00Z"/>
        <d v="2009-10-20T00:00:00Z"/>
        <d v="2011-04-24T00:00:00Z"/>
        <d v="2011-07-12T00:00:00Z"/>
        <d v="2011-06-13T00:00:00Z"/>
        <d v="2011-03-17T00:00:00Z"/>
        <d v="2011-01-16T00:00:00Z"/>
        <d v="2011-08-06T00:00:00Z"/>
        <d v="2011-07-08T00:00:00Z"/>
        <d v="2011-04-11T00:00:00Z"/>
        <d v="2011-02-10T00:00:00Z"/>
        <d v="2011-08-31T00:00:00Z"/>
        <d v="2011-08-02T00:00:00Z"/>
        <d v="2011-05-06T00:00:00Z"/>
        <d v="2011-03-07T00:00:00Z"/>
        <d v="2011-09-25T00:00:00Z"/>
        <d v="2011-01-24T00:00:00Z"/>
        <d v="2011-08-27T00:00:00Z"/>
        <d v="2011-05-31T00:00:00Z"/>
        <d v="2011-04-01T00:00:00Z"/>
        <d v="2011-02-18T00:00:00Z"/>
        <d v="2011-09-21T00:00:00Z"/>
        <d v="2011-06-25T00:00:00Z"/>
        <d v="2011-04-26T00:00:00Z"/>
        <d v="2011-11-14T00:00:00Z"/>
        <d v="2012-01-25T00:00:00Z"/>
        <d v="2012-11-26T00:00:00Z"/>
        <d v="2012-06-16T00:00:00Z"/>
        <d v="2012-10-15T00:00:00Z"/>
        <d v="2011-05-18T00:00:00Z"/>
        <d v="2012-02-19T00:00:00Z"/>
        <d v="2012-12-21T00:00:00Z"/>
        <d v="2011-07-11T00:00:00Z"/>
        <d v="2012-11-09T00:00:00Z"/>
        <d v="2011-06-12T00:00:00Z"/>
        <d v="2011-03-16T00:00:00Z"/>
        <d v="2011-01-15T00:00:00Z"/>
        <d v="2011-08-05T00:00:00Z"/>
        <d v="2012-12-04T00:00:00Z"/>
        <d v="2011-07-07T00:00:00Z"/>
        <d v="2012-12-29T00:00:00Z"/>
        <d v="2011-08-01T00:00:00Z"/>
        <d v="2011-10-20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56" sheet="Sheet1"/>
  </cacheSource>
  <cacheFields>
    <cacheField name="Manufacturer" numFmtId="0">
      <sharedItems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Model">
      <sharedItems containsDate="1" containsMixedTypes="1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d v="2026-05-09T00:00:00Z"/>
        <d v="2026-03-09T00:00:00Z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Unit Sales" numFmtId="0">
      <sharedItems containsSemiMixedTypes="0" containsString="0" containsNumber="1" containsInteger="1">
        <n v="16919.0"/>
        <n v="39384.0"/>
        <n v="8588.0"/>
        <n v="20397.0"/>
        <n v="18780.0"/>
        <n v="1380.0"/>
        <n v="19747.0"/>
        <n v="9231.0"/>
        <n v="17527.0"/>
        <n v="91561.0"/>
        <n v="39350.0"/>
        <n v="27851.0"/>
        <n v="83257.0"/>
        <n v="63729.0"/>
        <n v="15943.0"/>
        <n v="6536.0"/>
        <n v="11185.0"/>
        <n v="14785.0"/>
        <n v="145519.0"/>
        <n v="135126.0"/>
        <n v="24629.0"/>
        <n v="42593.0"/>
        <n v="26402.0"/>
        <n v="17947.0"/>
        <n v="32299.0"/>
        <n v="21855.0"/>
        <n v="107995.0"/>
        <n v="7854.0"/>
        <n v="32775.0"/>
        <n v="31148.0"/>
        <n v="32306.0"/>
        <n v="13462.0"/>
        <n v="30696.0"/>
        <n v="76034.0"/>
        <n v="4734.0"/>
        <n v="71186.0"/>
        <n v="88028.0"/>
        <n v="916.0"/>
        <n v="227061.0"/>
        <n v="16767.0"/>
        <n v="31038.0"/>
        <n v="111313.0"/>
        <n v="101323.0"/>
        <n v="181749.0"/>
        <n v="70227.0"/>
        <n v="113369.0"/>
        <n v="35068.0"/>
        <n v="245815.0"/>
        <n v="175670.0"/>
        <n v="63403.0"/>
        <n v="276747.0"/>
        <n v="155787.0"/>
        <n v="125338.0"/>
        <n v="220650.0"/>
        <n v="540561.0"/>
        <n v="199685.0"/>
        <n v="230902.0"/>
        <n v="73203.0"/>
        <n v="12855.0"/>
        <n v="76029.0"/>
        <n v="41184.0"/>
        <n v="66692.0"/>
        <n v="29450.0"/>
        <n v="23713.0"/>
        <n v="15467.0"/>
        <n v="55557.0"/>
        <n v="80556.0"/>
        <n v="157040.0"/>
        <n v="24072.0"/>
        <n v="12698.0"/>
        <n v="3334.0"/>
        <n v="6375.0"/>
        <n v="9126.0"/>
        <n v="51238.0"/>
        <n v="13798.0"/>
        <n v="48911.0"/>
        <n v="22925.0"/>
        <n v="26232.0"/>
        <n v="42541.0"/>
        <n v="55616.0"/>
        <n v="5711.0"/>
        <n v="110.0"/>
        <n v="11337.0"/>
        <n v="39348.0"/>
        <n v="14351.0"/>
        <n v="26529.0"/>
        <n v="67956.0"/>
        <n v="81174.0"/>
        <n v="27609.0"/>
        <n v="20380.0"/>
        <n v="18392.0"/>
        <n v="27602.0"/>
        <n v="16774.0"/>
        <n v="3311.0"/>
        <n v="7998.0"/>
        <n v="1526.0"/>
        <n v="11592.0"/>
        <n v="954.0"/>
        <n v="28976.0"/>
        <n v="42643.0"/>
        <n v="88094.0"/>
        <n v="79853.0"/>
        <n v="27308.0"/>
        <n v="42574.0"/>
        <n v="54158.0"/>
        <n v="65005.0"/>
        <n v="1112.0"/>
        <n v="38554.0"/>
        <n v="80255.0"/>
        <n v="14690.0"/>
        <n v="20017.0"/>
        <n v="24361.0"/>
        <n v="32734.0"/>
        <n v="5240.0"/>
        <n v="24155.0"/>
        <n v="1872.0"/>
        <n v="51645.0"/>
        <n v="131097.0"/>
        <n v="19911.0"/>
        <n v="92364.0"/>
        <n v="35945.0"/>
        <n v="39572.0"/>
        <n v="8982.0"/>
        <n v="1280.0"/>
        <n v="1866.0"/>
        <n v="9191.0"/>
        <n v="12115.0"/>
        <n v="80620.0"/>
        <n v="24546.0"/>
        <n v="5223.0"/>
        <n v="8472.0"/>
        <n v="49989.0"/>
        <n v="47107.0"/>
        <n v="33028.0"/>
        <n v="142535.0"/>
        <n v="247994.0"/>
        <n v="63849.0"/>
        <n v="33269.0"/>
        <n v="84087.0"/>
        <n v="65119.0"/>
        <n v="25106.0"/>
        <n v="68411.0"/>
        <n v="9835.0"/>
        <n v="9761.0"/>
        <n v="83721.0"/>
        <n v="51102.0"/>
        <n v="9569.0"/>
        <n v="5596.0"/>
        <n v="49463.0"/>
        <n v="16957.0"/>
        <n v="3545.0"/>
        <n v="15245.0"/>
        <n v="17531.0"/>
        <n v="3493.0"/>
        <n v="18969.0"/>
      </sharedItems>
    </cacheField>
    <cacheField name="Price" numFmtId="164">
      <sharedItems containsSemiMixedTypes="0" containsString="0" containsNumber="1" containsInteger="1">
        <n v="21500.0"/>
        <n v="28400.0"/>
        <n v="42000.0"/>
        <n v="23990.0"/>
        <n v="33950.0"/>
        <n v="62000.0"/>
        <n v="26990.0"/>
        <n v="33400.0"/>
        <n v="38900.0"/>
        <n v="21975.0"/>
        <n v="25300.0"/>
        <n v="31965.0"/>
        <n v="27885.0"/>
        <n v="39895.0"/>
        <n v="44475.0"/>
        <n v="39665.0"/>
        <n v="31010.0"/>
        <n v="46225.0"/>
        <n v="13260.0"/>
        <n v="16535.0"/>
        <n v="18890.0"/>
        <n v="19390.0"/>
        <n v="24340.0"/>
        <n v="55705.0"/>
        <n v="13960.0"/>
        <n v="9235.0"/>
        <n v="19840.0"/>
        <n v="24495.0"/>
        <n v="22245.0"/>
        <n v="16480.0"/>
        <n v="28340.0"/>
        <n v="29185.0"/>
        <n v="12640.0"/>
        <n v="19045.0"/>
        <n v="20230.0"/>
        <n v="22505.0"/>
        <n v="69725.0"/>
        <n v="19460.0"/>
        <n v="21315.0"/>
        <n v="18575.0"/>
        <n v="16980.0"/>
        <n v="26310.0"/>
        <n v="19565.0"/>
        <n v="12070.0"/>
        <n v="21560.0"/>
        <n v="17035.0"/>
        <n v="17885.0"/>
        <n v="12315.0"/>
        <n v="22195.0"/>
        <n v="31930.0"/>
        <n v="21410.0"/>
        <n v="36135.0"/>
        <n v="12050.0"/>
        <n v="26935.0"/>
        <n v="12885.0"/>
        <n v="15350.0"/>
        <n v="20550.0"/>
        <n v="26600.0"/>
        <n v="26000.0"/>
        <n v="9699.0"/>
        <n v="11799.0"/>
        <n v="14999.0"/>
        <n v="29465.0"/>
        <n v="42800.0"/>
        <n v="14460.0"/>
        <n v="21620.0"/>
        <n v="26895.0"/>
        <n v="31505.0"/>
        <n v="37805.0"/>
        <n v="46305.0"/>
        <n v="54005.0"/>
        <n v="60105.0"/>
        <n v="34605.0"/>
        <n v="39080.0"/>
        <n v="43330.0"/>
        <n v="42660.0"/>
        <n v="13987.0"/>
        <n v="19047.0"/>
        <n v="17357.0"/>
        <n v="24997.0"/>
        <n v="25450.0"/>
        <n v="31807.0"/>
        <n v="22527.0"/>
        <n v="16240.0"/>
        <n v="16540.0"/>
        <n v="19035.0"/>
        <n v="22605.0"/>
        <n v="27560.0"/>
        <n v="22510.0"/>
        <n v="31750.0"/>
        <n v="49900.0"/>
        <n v="69700.0"/>
        <n v="82600.0"/>
        <n v="41000.0"/>
        <n v="41600.0"/>
        <n v="85500.0"/>
        <n v="35300.0"/>
        <n v="13499.0"/>
        <n v="20390.0"/>
        <n v="26249.0"/>
        <n v="26399.0"/>
        <n v="29299.0"/>
        <n v="22799.0"/>
        <n v="17890.0"/>
        <n v="18145.0"/>
        <n v="24150.0"/>
        <n v="18270.0"/>
        <n v="36229.0"/>
        <n v="31598.0"/>
        <n v="25345.0"/>
        <n v="16080.0"/>
        <n v="18850.0"/>
        <n v="43000.0"/>
        <n v="21610.0"/>
        <n v="19720.0"/>
        <n v="25310.0"/>
        <n v="21665.0"/>
        <n v="23755.0"/>
        <n v="25635.0"/>
        <n v="41430.0"/>
        <n v="71020.0"/>
        <n v="74970.0"/>
        <n v="33120.0"/>
        <n v="26100.0"/>
        <n v="10685.0"/>
        <n v="12535.0"/>
        <n v="14290.0"/>
        <n v="18835.0"/>
        <n v="15010.0"/>
        <n v="22695.0"/>
        <n v="20095.0"/>
        <n v="13108.0"/>
        <n v="17518.0"/>
        <n v="25545.0"/>
        <n v="16875.0"/>
        <n v="11528.0"/>
        <n v="22368.0"/>
        <n v="16888.0"/>
        <n v="22288.0"/>
        <n v="51728.0"/>
        <n v="14900.0"/>
        <n v="16700.0"/>
        <n v="21200.0"/>
        <n v="19990.0"/>
        <n v="17500.0"/>
        <n v="15900.0"/>
        <n v="23400.0"/>
        <n v="24400.0"/>
        <n v="27500.0"/>
        <n v="28800.0"/>
        <n v="45500.0"/>
        <n v="36000.0"/>
      </sharedItems>
    </cacheField>
    <cacheField name="Year Resale Value" numFmtId="164">
      <sharedItems containsSemiMixedTypes="0" containsString="0" containsNumber="1" containsInteger="1">
        <n v="16360.0"/>
        <n v="19875.0"/>
        <n v="29725.0"/>
        <n v="22255.0"/>
        <n v="23555.0"/>
        <n v="39000.0"/>
        <n v="24500.0"/>
        <n v="28675.0"/>
        <n v="36125.0"/>
        <n v="12475.0"/>
        <n v="13740.0"/>
        <n v="20190.0"/>
        <n v="13360.0"/>
        <n v="22525.0"/>
        <n v="27100.0"/>
        <n v="25725.0"/>
        <n v="18225.0"/>
        <n v="31245.0"/>
        <n v="9250.0"/>
        <n v="11225.0"/>
        <n v="10310.0"/>
        <n v="11525.0"/>
        <n v="13025.0"/>
        <n v="36225.0"/>
        <n v="9125.0"/>
        <n v="5160.0"/>
        <n v="11550.0"/>
        <n v="12360.0"/>
        <n v="14180.0"/>
        <n v="13725.0"/>
        <n v="12640.0"/>
        <n v="17325.0"/>
        <n v="18425.0"/>
        <n v="7750.0"/>
        <n v="12545.0"/>
        <n v="10185.0"/>
        <n v="12275.0"/>
        <n v="58470.0"/>
        <n v="15060.0"/>
        <n v="15510.0"/>
        <n v="13425.0"/>
        <n v="11260.0"/>
        <n v="21436.0"/>
        <n v="12025.0"/>
        <n v="7425.0"/>
        <n v="12760.0"/>
        <n v="8835.0"/>
        <n v="10055.0"/>
        <n v="8670.0"/>
        <n v="14210.0"/>
        <n v="16640.0"/>
        <n v="13175.0"/>
        <n v="23575.0"/>
        <n v="7850.0"/>
        <n v="15075.0"/>
        <n v="9850.0"/>
        <n v="13210.0"/>
        <n v="17710.0"/>
        <n v="17525.0"/>
        <n v="19490.0"/>
        <n v="5860.0"/>
        <n v="7825.0"/>
        <n v="8910.0"/>
        <n v="19690.0"/>
        <n v="33219.0"/>
        <n v="13475.0"/>
        <n v="13775.0"/>
        <n v="18810.0"/>
        <n v="26975.0"/>
        <n v="32075.0"/>
        <n v="38955.0"/>
        <n v="40375.0"/>
        <n v="43870.0"/>
        <n v="29140.0"/>
        <n v="20525.0"/>
        <n v="21725.0"/>
        <n v="20765.0"/>
        <n v="8325.0"/>
        <n v="10395.0"/>
        <n v="10595.0"/>
        <n v="16575.0"/>
        <n v="20940.0"/>
        <n v="19125.0"/>
        <n v="13880.0"/>
        <n v="8800.0"/>
        <n v="13890.0"/>
        <n v="11030.0"/>
        <n v="14875.0"/>
        <n v="20430.0"/>
        <n v="14795.0"/>
        <n v="26050.0"/>
        <n v="41450.0"/>
        <n v="50375.0"/>
        <n v="58600.0"/>
        <n v="32436.0"/>
        <n v="28635.0"/>
        <n v="29200.0"/>
        <n v="63423.0"/>
        <n v="28720.0"/>
        <n v="8450.0"/>
        <n v="11295.0"/>
        <n v="15125.0"/>
        <n v="15380.0"/>
        <n v="17810.0"/>
        <n v="13093.0"/>
        <n v="10670.0"/>
        <n v="11240.0"/>
        <n v="17100.0"/>
        <n v="11459.0"/>
        <n v="19890.0"/>
        <n v="19925.0"/>
        <n v="15240.0"/>
        <n v="9800.0"/>
        <n v="30434.0"/>
        <n v="13790.0"/>
        <n v="10290.0"/>
        <n v="17805.0"/>
        <n v="14010.0"/>
        <n v="13225.0"/>
        <n v="14215.0"/>
        <n v="41250.0"/>
        <n v="60625.0"/>
        <n v="67550.0"/>
        <n v="22789.0"/>
        <n v="18255.0"/>
        <n v="9200.0"/>
        <n v="10590.0"/>
        <n v="10790.0"/>
        <n v="13700.0"/>
        <n v="9900.0"/>
        <n v="16770.0"/>
        <n v="14832.0"/>
        <n v="10025.0"/>
        <n v="13245.0"/>
        <n v="18140.0"/>
        <n v="15445.0"/>
        <n v="9575.0"/>
        <n v="18689.0"/>
        <n v="13325.0"/>
        <n v="19425.0"/>
        <n v="34080.0"/>
        <n v="11425.0"/>
        <n v="13240.0"/>
        <n v="16725.0"/>
        <n v="13760.0"/>
        <n v="11986.0"/>
        <n v="14334.0"/>
        <n v="15252.0"/>
        <n v="18900.0"/>
        <n v="20223.0"/>
        <n v="34175.0"/>
        <n v="26403.0"/>
      </sharedItems>
    </cacheField>
    <cacheField name="Retention %" numFmtId="9">
      <sharedItems containsSemiMixedTypes="0" containsString="0" containsNumber="1">
        <n v="0.76"/>
        <n v="0.7"/>
        <n v="0.71"/>
        <n v="0.93"/>
        <n v="0.69"/>
        <n v="0.63"/>
        <n v="0.91"/>
        <n v="0.86"/>
        <n v="0.57"/>
        <n v="0.54"/>
        <n v="0.48"/>
        <n v="0.56"/>
        <n v="0.61"/>
        <n v="0.65"/>
        <n v="0.59"/>
        <n v="0.68"/>
        <n v="0.55"/>
        <n v="0.62"/>
        <n v="0.58"/>
        <n v="0.77"/>
        <n v="0.66"/>
        <n v="0.5"/>
        <n v="0.84"/>
        <n v="0.73"/>
        <n v="0.72"/>
        <n v="0.81"/>
        <n v="0.52"/>
        <n v="0.64"/>
        <n v="0.75"/>
        <n v="0.6"/>
        <n v="0.67"/>
        <n v="0.78"/>
        <n v="0.85"/>
        <n v="0.53"/>
        <n v="0.49"/>
        <n v="0.82"/>
        <n v="0.74"/>
        <n v="0.83"/>
        <n v="1.0"/>
        <n v="0.9"/>
        <n v="0.92"/>
        <n v="0.79"/>
        <n v="0.87"/>
      </sharedItems>
    </cacheField>
    <cacheField name="Retention Value" numFmtId="0">
      <sharedItems>
        <s v="GOOD"/>
        <s v="POOR"/>
      </sharedItems>
    </cacheField>
    <cacheField name="Engine Size" numFmtId="0">
      <sharedItems containsSemiMixedTypes="0" containsString="0" containsNumber="1">
        <n v="1.8"/>
        <n v="3.2"/>
        <n v="3.5"/>
        <n v="2.8"/>
        <n v="4.2"/>
        <n v="2.5"/>
        <n v="3.1"/>
        <n v="3.8"/>
        <n v="4.6"/>
        <n v="3.0"/>
        <n v="5.7"/>
        <n v="2.2"/>
        <n v="3.4"/>
        <n v="1.0"/>
        <n v="2.7"/>
        <n v="2.0"/>
        <n v="8.0"/>
        <n v="5.2"/>
        <n v="3.9"/>
        <n v="2.4"/>
        <n v="4.0"/>
        <n v="1.6"/>
        <n v="2.3"/>
        <n v="1.5"/>
        <n v="4.7"/>
        <n v="5.4"/>
        <n v="3.3"/>
        <n v="4.3"/>
        <n v="5.0"/>
        <n v="1.9"/>
        <n v="2.9"/>
      </sharedItems>
    </cacheField>
    <cacheField name="Horsepower" numFmtId="0">
      <sharedItems containsSemiMixedTypes="0" containsString="0" containsNumber="1" containsInteger="1">
        <n v="140.0"/>
        <n v="225.0"/>
        <n v="210.0"/>
        <n v="150.0"/>
        <n v="200.0"/>
        <n v="310.0"/>
        <n v="170.0"/>
        <n v="193.0"/>
        <n v="175.0"/>
        <n v="240.0"/>
        <n v="205.0"/>
        <n v="275.0"/>
        <n v="255.0"/>
        <n v="115.0"/>
        <n v="180.0"/>
        <n v="345.0"/>
        <n v="120.0"/>
        <n v="55.0"/>
        <n v="163.0"/>
        <n v="168.0"/>
        <n v="132.0"/>
        <n v="253.0"/>
        <n v="202.0"/>
        <n v="450.0"/>
        <n v="230.0"/>
        <n v="110.0"/>
        <n v="190.0"/>
        <n v="155.0"/>
        <n v="107.0"/>
        <n v="119.0"/>
        <n v="220.0"/>
        <n v="106.0"/>
        <n v="135.0"/>
        <n v="146.0"/>
        <n v="92.0"/>
        <n v="148.0"/>
        <n v="227.0"/>
        <n v="195.0"/>
        <n v="300.0"/>
        <n v="290.0"/>
        <n v="215.0"/>
        <n v="113.0"/>
        <n v="154.0"/>
        <n v="145.0"/>
        <n v="161.0"/>
        <n v="173.0"/>
        <n v="125.0"/>
        <n v="153.0"/>
        <n v="185.0"/>
        <n v="221.0"/>
        <n v="302.0"/>
        <n v="126.0"/>
        <n v="222.0"/>
        <n v="250.0"/>
        <n v="217.0"/>
        <n v="100.0"/>
        <n v="124.0"/>
        <n v="137.0"/>
        <n v="165.0"/>
        <n v="133.0"/>
        <n v="142.0"/>
        <n v="194.0"/>
        <n v="127.0"/>
        <n v="160.0"/>
        <n v="236.0"/>
        <n v="201.0"/>
      </sharedItems>
    </cacheField>
    <cacheField name="HP Level" numFmtId="0">
      <sharedItems>
        <s v="Medium HP"/>
        <s v="High HP"/>
        <s v="Low HP"/>
      </sharedItems>
    </cacheField>
    <cacheField name="Vehicle_type" numFmtId="0">
      <sharedItems>
        <s v="Passenger"/>
        <s v="Car"/>
      </sharedItems>
    </cacheField>
    <cacheField name="Fuel Efficiency" numFmtId="0">
      <sharedItems containsSemiMixedTypes="0" containsString="0" containsNumber="1" containsInteger="1">
        <n v="28.0"/>
        <n v="25.0"/>
        <n v="22.0"/>
        <n v="27.0"/>
        <n v="21.0"/>
        <n v="26.0"/>
        <n v="24.0"/>
        <n v="23.0"/>
        <n v="15.0"/>
        <n v="33.0"/>
        <n v="45.0"/>
        <n v="29.0"/>
        <n v="16.0"/>
        <n v="17.0"/>
        <n v="19.0"/>
        <n v="30.0"/>
        <n v="18.0"/>
        <n v="32.0"/>
        <n v="31.0"/>
        <n v="20.0"/>
      </sharedItems>
    </cacheField>
    <cacheField name="Power Perf Factor" numFmtId="0">
      <sharedItems containsSemiMixedTypes="0" containsString="0" containsNumber="1">
        <n v="58.28014952"/>
        <n v="91.37077766"/>
        <n v="91.38977933"/>
        <n v="62.7776392"/>
        <n v="84.56510502"/>
        <n v="134.6568582"/>
        <n v="71.19120671"/>
        <n v="81.87706856"/>
        <n v="83.9987238"/>
        <n v="71.18145132"/>
        <n v="95.63670253"/>
        <n v="85.82840825"/>
        <n v="84.25452581"/>
        <n v="113.8545976"/>
        <n v="115.6213578"/>
        <n v="113.7658739"/>
        <n v="83.48309358"/>
        <n v="109.5091165"/>
        <n v="46.36334747"/>
        <n v="67.31446216"/>
        <n v="69.9913956"/>
        <n v="72.03091719"/>
        <n v="81.11854333"/>
        <n v="141.14115"/>
        <n v="48.2976361"/>
        <n v="23.27627233"/>
        <n v="71.83803944"/>
        <n v="65.95718396"/>
        <n v="69.52135505"/>
        <n v="80.02378204"/>
        <n v="53.56619987"/>
        <n v="101.3292807"/>
        <n v="101.6552441"/>
        <n v="52.08489875"/>
        <n v="65.65050834"/>
        <n v="67.87610784"/>
        <n v="80.83147017"/>
        <n v="188.144323"/>
        <n v="90.21170005"/>
        <n v="71.13529161"/>
        <n v="70.07832154"/>
        <n v="49.64500177"/>
        <n v="92.85412522"/>
        <n v="61.22700031"/>
        <n v="44.08370946"/>
        <n v="76.50918456"/>
        <n v="67.35101072"/>
        <n v="62.5037395"/>
        <n v="43.11713201"/>
        <n v="80.49953671"/>
        <n v="87.63549578"/>
        <n v="62.09504839"/>
        <n v="100.0248023"/>
        <n v="47.38953131"/>
        <n v="89.40193473"/>
        <n v="42.87909734"/>
        <n v="54.26954829"/>
        <n v="60.08796662"/>
        <n v="83.6025008"/>
        <n v="85.21769134"/>
        <n v="36.67228358"/>
        <n v="54.59004516"/>
        <n v="58.758249"/>
        <n v="92.43688923"/>
        <n v="102.1789848"/>
        <n v="48.67289791"/>
        <n v="76.58443962"/>
        <n v="80.38777912"/>
        <n v="87.21100104"/>
        <n v="94.9466984"/>
        <n v="125.0133574"/>
        <n v="124.4467163"/>
        <n v="105.760458"/>
        <n v="91.94380156"/>
        <n v="113.5402069"/>
        <n v="93.9579169"/>
        <n v="123.9720467"/>
        <n v="45.83218056"/>
        <n v="62.44196235"/>
        <n v="58.60677292"/>
        <n v="84.83077858"/>
        <n v="67.54415494"/>
        <n v="83.92081504"/>
        <n v="70.66094179"/>
        <n v="50.99774761"/>
        <n v="51.11347426"/>
        <n v="62.23996663"/>
        <n v="80.65769646"/>
        <n v="85.94974425"/>
        <n v="69.671461"/>
        <n v="78.28073088"/>
        <n v="98.2497375"/>
        <n v="125.2738757"/>
        <n v="139.9822936"/>
        <n v="82.80736193"/>
        <n v="81.84896924"/>
        <n v="92.92579177"/>
        <n v="141.1009845"/>
        <n v="90.49553213"/>
        <n v="50.24197791"/>
        <n v="63.31372783"/>
        <n v="89.42782031"/>
        <n v="71.17166413"/>
        <n v="72.29035508"/>
        <n v="69.78294434"/>
        <n v="67.88927059"/>
        <n v="60.86161155"/>
        <n v="86.27252291"/>
        <n v="60.72744693"/>
        <n v="103.4416926"/>
        <n v="80.51167259"/>
        <n v="76.09657042"/>
        <n v="53.41189767"/>
        <n v="60.95118512"/>
        <n v="106.9844563"/>
        <n v="62.0158703"/>
        <n v="70.38973726"/>
        <n v="81.49272616"/>
        <n v="78.31816813"/>
        <n v="82.6613556"/>
        <n v="76.20843952"/>
        <n v="93.4373307"/>
        <n v="134.3909754"/>
        <n v="135.9147096"/>
        <n v="73.50377819"/>
        <n v="76.02304771"/>
        <n v="39.98642475"/>
        <n v="40.70007242"/>
        <n v="49.86577367"/>
        <n v="56.29524304"/>
        <n v="54.81972825"/>
        <n v="67.7659076"/>
        <n v="66.76294331"/>
        <n v="47.96897242"/>
        <n v="54.37241965"/>
        <n v="84.91189826"/>
        <n v="56.49603034"/>
        <n v="55.29711658"/>
        <n v="78.02721947"/>
        <n v="51.95510887"/>
        <n v="62.35557713"/>
        <n v="102.5289842"/>
        <n v="46.94387676"/>
        <n v="47.63823666"/>
        <n v="61.70138136"/>
        <n v="48.90737225"/>
        <n v="47.94684106"/>
        <n v="47.32963226"/>
        <n v="66.1130568"/>
        <n v="66.4988123"/>
        <n v="70.65449545"/>
        <n v="71.1559776"/>
        <n v="101.6233572"/>
        <n v="85.73565451"/>
      </sharedItems>
    </cacheField>
    <cacheField name="Wheelbase" numFmtId="0">
      <sharedItems containsSemiMixedTypes="0" containsString="0" containsNumber="1">
        <n v="101.2"/>
        <n v="108.1"/>
        <n v="114.6"/>
        <n v="102.6"/>
        <n v="108.7"/>
        <n v="113.0"/>
        <n v="107.3"/>
        <n v="111.4"/>
        <n v="109.0"/>
        <n v="113.8"/>
        <n v="112.2"/>
        <n v="115.3"/>
        <n v="108.0"/>
        <n v="107.4"/>
        <n v="117.5"/>
        <n v="104.1"/>
        <n v="107.0"/>
        <n v="107.5"/>
        <n v="110.5"/>
        <n v="101.1"/>
        <n v="104.5"/>
        <n v="97.1"/>
        <n v="93.1"/>
        <n v="103.7"/>
        <n v="106.0"/>
        <n v="105.0"/>
        <n v="96.2"/>
        <n v="138.7"/>
        <n v="109.6"/>
        <n v="127.2"/>
        <n v="131.0"/>
        <n v="115.7"/>
        <n v="113.3"/>
        <n v="98.4"/>
        <n v="101.3"/>
        <n v="106.5"/>
        <n v="108.5"/>
        <n v="103.0"/>
        <n v="114.7"/>
        <n v="111.6"/>
        <n v="120.7"/>
        <n v="119.0"/>
        <n v="138.5"/>
        <n v="103.2"/>
        <n v="106.9"/>
        <n v="106.4"/>
        <n v="118.1"/>
        <n v="96.1"/>
        <n v="100.4"/>
        <n v="106.3"/>
        <n v="108.3"/>
        <n v="114.5"/>
        <n v="93.4"/>
        <n v="101.4"/>
        <n v="105.9"/>
        <n v="105.1"/>
        <n v="110.2"/>
        <n v="117.7"/>
        <n v="100.8"/>
        <n v="107.1"/>
        <n v="97.2"/>
        <n v="111.5"/>
        <n v="121.5"/>
        <n v="99.0"/>
        <n v="94.5"/>
        <n v="113.6"/>
        <n v="111.0"/>
        <n v="99.8"/>
        <n v="103.1"/>
        <n v="104.3"/>
        <n v="116.1"/>
        <n v="120.0"/>
        <n v="95.2"/>
        <n v="92.6"/>
        <n v="102.4"/>
        <n v="103.5"/>
        <n v="99.4"/>
        <n v="97.0"/>
        <n v="105.2"/>
        <n v="103.3"/>
        <n v="114.2"/>
        <n v="94.9"/>
        <n v="105.3"/>
        <n v="98.9"/>
        <n v="97.4"/>
        <n v="100.5"/>
        <n v="104.9"/>
        <n v="109.9"/>
      </sharedItems>
    </cacheField>
    <cacheField name="Width" numFmtId="0">
      <sharedItems containsSemiMixedTypes="0" containsString="0" containsNumber="1">
        <n v="67.3"/>
        <n v="70.3"/>
        <n v="71.4"/>
        <n v="68.2"/>
        <n v="76.1"/>
        <n v="74.0"/>
        <n v="68.4"/>
        <n v="68.5"/>
        <n v="70.9"/>
        <n v="72.7"/>
        <n v="74.7"/>
        <n v="73.5"/>
        <n v="74.5"/>
        <n v="75.0"/>
        <n v="75.5"/>
        <n v="77.0"/>
        <n v="67.9"/>
        <n v="69.4"/>
        <n v="72.5"/>
        <n v="74.1"/>
        <n v="73.6"/>
        <n v="66.7"/>
        <n v="62.6"/>
        <n v="73.0"/>
        <n v="69.7"/>
        <n v="69.2"/>
        <n v="74.4"/>
        <n v="71.0"/>
        <n v="69.1"/>
        <n v="75.7"/>
        <n v="79.3"/>
        <n v="78.8"/>
        <n v="71.5"/>
        <n v="71.7"/>
        <n v="76.8"/>
        <n v="67.0"/>
        <n v="73.1"/>
        <n v="66.9"/>
        <n v="78.2"/>
        <n v="70.2"/>
        <n v="76.6"/>
        <n v="78.7"/>
        <n v="79.1"/>
        <n v="67.1"/>
        <n v="68.9"/>
        <n v="70.4"/>
        <n v="75.6"/>
        <n v="65.7"/>
        <n v="71.6"/>
        <n v="72.3"/>
        <n v="70.5"/>
        <n v="72.0"/>
        <n v="76.4"/>
        <n v="79.9"/>
        <n v="66.5"/>
        <n v="72.4"/>
        <n v="69.9"/>
        <n v="69.6"/>
        <n v="74.9"/>
        <n v="67.7"/>
        <n v="70.8"/>
        <n v="71.3"/>
        <n v="67.5"/>
        <n v="67.8"/>
        <n v="72.2"/>
        <n v="70.1"/>
        <n v="76.3"/>
        <n v="72.6"/>
        <n v="69.5"/>
        <n v="70.6"/>
        <n v="67.4"/>
        <n v="66.4"/>
        <n v="69.0"/>
        <n v="68.3"/>
        <n v="73.4"/>
        <n v="67.6"/>
        <n v="69.3"/>
        <n v="72.1"/>
      </sharedItems>
    </cacheField>
    <cacheField name="Length" numFmtId="0">
      <sharedItems containsSemiMixedTypes="0" containsString="0" containsNumber="1">
        <n v="172.4"/>
        <n v="192.9"/>
        <n v="196.6"/>
        <n v="178.0"/>
        <n v="192.0"/>
        <n v="198.2"/>
        <n v="176.0"/>
        <n v="188.0"/>
        <n v="194.6"/>
        <n v="196.2"/>
        <n v="206.8"/>
        <n v="200.0"/>
        <n v="207.2"/>
        <n v="201.0"/>
        <n v="200.6"/>
        <n v="194.8"/>
        <n v="201.2"/>
        <n v="180.9"/>
        <n v="190.4"/>
        <n v="200.9"/>
        <n v="197.9"/>
        <n v="193.2"/>
        <n v="179.7"/>
        <n v="174.3"/>
        <n v="149.4"/>
        <n v="190.9"/>
        <n v="193.0"/>
        <n v="209.1"/>
        <n v="186.0"/>
        <n v="207.7"/>
        <n v="197.8"/>
        <n v="174.4"/>
        <n v="190.2"/>
        <n v="203.7"/>
        <n v="176.7"/>
        <n v="224.2"/>
        <n v="192.6"/>
        <n v="208.5"/>
        <n v="215.0"/>
        <n v="193.5"/>
        <n v="186.3"/>
        <n v="174.7"/>
        <n v="183.2"/>
        <n v="184.6"/>
        <n v="197.6"/>
        <n v="174.8"/>
        <n v="212.0"/>
        <n v="190.7"/>
        <n v="204.6"/>
        <n v="200.7"/>
        <n v="224.5"/>
        <n v="175.1"/>
        <n v="188.8"/>
        <n v="177.6"/>
        <n v="178.2"/>
        <n v="166.7"/>
        <n v="174.0"/>
        <n v="185.4"/>
        <n v="193.7"/>
        <n v="191.3"/>
        <n v="152.0"/>
        <n v="167.5"/>
        <n v="181.5"/>
        <n v="189.2"/>
        <n v="196.7"/>
        <n v="192.5"/>
        <n v="180.1"/>
        <n v="215.3"/>
        <n v="204.8"/>
        <n v="173.6"/>
        <n v="175.4"/>
        <n v="187.8"/>
        <n v="194.1"/>
        <n v="180.3"/>
        <n v="186.6"/>
        <n v="178.3"/>
        <n v="184.8"/>
        <n v="185.0"/>
        <n v="199.7"/>
        <n v="190.1"/>
        <n v="194.7"/>
        <n v="177.4"/>
        <n v="189.4"/>
        <n v="203.1"/>
        <n v="177.1"/>
        <n v="157.9"/>
        <n v="157.3"/>
        <n v="180.6"/>
        <n v="177.5"/>
        <n v="183.5"/>
        <n v="190.5"/>
        <n v="182.6"/>
        <n v="196.1"/>
        <n v="195.9"/>
        <n v="186.7"/>
        <n v="205.4"/>
        <n v="181.2"/>
        <n v="201.4"/>
        <n v="165.4"/>
        <n v="181.9"/>
        <n v="193.4"/>
        <n v="196.5"/>
        <n v="202.5"/>
        <n v="201.3"/>
        <n v="171.0"/>
        <n v="174.5"/>
        <n v="182.2"/>
        <n v="176.9"/>
        <n v="180.0"/>
        <n v="185.8"/>
        <n v="175.2"/>
        <n v="188.5"/>
        <n v="191.9"/>
        <n v="170.5"/>
        <n v="178.7"/>
        <n v="163.8"/>
        <n v="183.3"/>
        <n v="163.3"/>
        <n v="172.3"/>
        <n v="184.1"/>
        <n v="160.4"/>
        <n v="161.1"/>
        <n v="176.6"/>
        <n v="185.9"/>
        <n v="186.2"/>
        <n v="185.7"/>
        <n v="189.8"/>
      </sharedItems>
    </cacheField>
    <cacheField name="Curb Weight" numFmtId="0">
      <sharedItems containsSemiMixedTypes="0" containsString="0" containsNumber="1">
        <n v="2.639"/>
        <n v="3.517"/>
        <n v="3.85"/>
        <n v="2.998"/>
        <n v="3.561"/>
        <n v="3.902"/>
        <n v="3.179"/>
        <n v="3.197"/>
        <n v="3.472"/>
        <n v="3.368"/>
        <n v="3.543"/>
        <n v="3.778"/>
        <n v="3.591"/>
        <n v="3.978"/>
        <n v="3.875"/>
        <n v="3.843"/>
        <n v="3.77"/>
        <n v="5.572"/>
        <n v="2.676"/>
        <n v="3.051"/>
        <n v="3.33"/>
        <n v="3.34"/>
        <n v="3.5"/>
        <n v="3.21"/>
        <n v="2.398"/>
        <n v="1.895"/>
        <n v="3.389"/>
        <n v="2.967"/>
        <n v="3.332"/>
        <n v="3.452"/>
        <n v="2.911"/>
        <n v="3.564"/>
        <n v="3.567"/>
        <n v="2.567"/>
        <n v="2.879"/>
        <n v="3.058"/>
        <n v="3.489"/>
        <n v="3.375"/>
        <n v="4.47"/>
        <n v="4.245"/>
        <n v="4.298"/>
        <n v="3.557"/>
        <n v="4.394"/>
        <n v="3.533"/>
        <n v="2.468"/>
        <n v="3.203"/>
        <n v="2.769"/>
        <n v="2.564"/>
        <n v="3.908"/>
        <n v="3.876"/>
        <n v="3.761"/>
        <n v="4.808"/>
        <n v="3.086"/>
        <n v="4.241"/>
        <n v="2.339"/>
        <n v="2.932"/>
        <n v="3.219"/>
        <n v="3.857"/>
        <n v="4.288"/>
        <n v="2.24"/>
        <n v="2.626"/>
        <n v="3.072"/>
        <n v="3.342"/>
        <n v="3.65"/>
        <n v="3.045"/>
        <n v="3.194"/>
        <n v="3.88"/>
        <n v="3.373"/>
        <n v="3.638"/>
        <n v="3.693"/>
        <n v="3.89"/>
        <n v="5.401"/>
        <n v="3.9"/>
        <n v="3.868"/>
        <n v="4.121"/>
        <n v="5.393"/>
        <n v="2.25"/>
        <n v="2.91"/>
        <n v="2.945"/>
        <n v="3.443"/>
        <n v="3.131"/>
        <n v="4.52"/>
        <n v="3.51"/>
        <n v="2.892"/>
        <n v="3.379"/>
        <n v="3.958"/>
        <n v="3.944"/>
        <n v="3.25"/>
        <n v="3.823"/>
        <n v="4.133"/>
        <n v="4.125"/>
        <n v="3.055"/>
        <n v="2.975"/>
        <n v="3.213"/>
        <n v="4.115"/>
        <n v="4.387"/>
        <n v="2.593"/>
        <n v="3.012"/>
        <n v="3.294"/>
        <n v="3.991"/>
        <n v="3.947"/>
        <n v="3.821"/>
        <n v="3.217"/>
        <n v="3.102"/>
        <n v="3.455"/>
        <n v="2.958"/>
        <n v="3.967"/>
        <n v="4.068"/>
        <n v="3.948"/>
        <n v="2.559"/>
        <n v="2.942"/>
        <n v="3.528"/>
        <n v="2.85"/>
        <n v="2.906"/>
        <n v="3.091"/>
        <n v="3.492"/>
        <n v="3.396"/>
        <n v="3.59"/>
        <n v="3.942"/>
        <n v="2.778"/>
        <n v="3.032"/>
        <n v="3.075"/>
        <n v="3.28"/>
        <n v="2.99"/>
        <n v="2.332"/>
        <n v="2.367"/>
        <n v="2.452"/>
        <n v="3.415"/>
        <n v="3.125"/>
        <n v="2.42"/>
        <n v="3.417"/>
        <n v="2.425"/>
        <n v="2.58"/>
        <n v="3.759"/>
        <n v="2.668"/>
        <n v="3.44"/>
        <n v="5.115"/>
        <n v="2.767"/>
        <n v="2.853"/>
        <n v="3.043"/>
        <n v="3.079"/>
        <n v="2.762"/>
        <n v="3.042"/>
        <n v="3.208"/>
        <n v="3.259"/>
        <n v="3.601"/>
        <n v="3.6"/>
      </sharedItems>
    </cacheField>
    <cacheField name="Fuel Capacity" numFmtId="0">
      <sharedItems containsSemiMixedTypes="0" containsString="0" containsNumber="1">
        <n v="13.2"/>
        <n v="17.2"/>
        <n v="18.0"/>
        <n v="16.4"/>
        <n v="18.5"/>
        <n v="23.7"/>
        <n v="16.6"/>
        <n v="17.5"/>
        <n v="19.0"/>
        <n v="30.0"/>
        <n v="14.3"/>
        <n v="15.0"/>
        <n v="17.0"/>
        <n v="16.8"/>
        <n v="19.1"/>
        <n v="10.3"/>
        <n v="15.9"/>
        <n v="16.0"/>
        <n v="12.5"/>
        <n v="26.0"/>
        <n v="32.0"/>
        <n v="22.0"/>
        <n v="25.0"/>
        <n v="20.0"/>
        <n v="12.7"/>
        <n v="15.7"/>
        <n v="21.0"/>
        <n v="25.1"/>
        <n v="11.9"/>
        <n v="17.1"/>
        <n v="15.3"/>
        <n v="21.1"/>
        <n v="14.5"/>
        <n v="18.4"/>
        <n v="20.5"/>
        <n v="19.8"/>
        <n v="22.5"/>
        <n v="25.4"/>
        <n v="16.3"/>
        <n v="24.3"/>
        <n v="19.5"/>
        <n v="23.2"/>
        <n v="14.0"/>
        <n v="19.4"/>
        <n v="15.2"/>
        <n v="12.0"/>
        <n v="16.9"/>
        <n v="12.1"/>
        <n v="13.1"/>
        <n v="15.1"/>
        <n v="20.9"/>
        <n v="13.7"/>
        <n v="14.6"/>
        <n v="15.8"/>
        <n v="17.9"/>
      </sharedItems>
    </cacheField>
    <cacheField name="Latest Launch" numFmtId="165">
      <sharedItems containsSemiMixedTypes="0" containsDate="1" containsString="0">
        <d v="2012-02-02T00:00:00Z"/>
        <d v="2011-06-03T00:00:00Z"/>
        <d v="2011-03-10T00:00:00Z"/>
        <d v="2011-10-08T00:00:00Z"/>
        <d v="2011-08-09T00:00:00Z"/>
        <d v="2012-02-27T00:00:00Z"/>
        <d v="2011-06-28T00:00:00Z"/>
        <d v="2012-01-29T00:00:00Z"/>
        <d v="2011-04-04T00:00:00Z"/>
        <d v="2011-11-02T00:00:00Z"/>
        <d v="2011-09-03T00:00:00Z"/>
        <d v="2012-03-23T00:00:00Z"/>
        <d v="2011-07-23T00:00:00Z"/>
        <d v="2012-02-23T00:00:00Z"/>
        <d v="2011-04-29T00:00:00Z"/>
        <d v="2011-11-27T00:00:00Z"/>
        <d v="2011-09-28T00:00:00Z"/>
        <d v="2012-04-17T00:00:00Z"/>
        <d v="2011-08-17T00:00:00Z"/>
        <d v="2012-03-19T00:00:00Z"/>
        <d v="2011-05-24T00:00:00Z"/>
        <d v="2011-12-22T00:00:00Z"/>
        <d v="2011-10-23T00:00:00Z"/>
        <d v="2012-05-12T00:00:00Z"/>
        <d v="2011-09-11T00:00:00Z"/>
        <d v="2012-04-13T00:00:00Z"/>
        <d v="2011-06-18T00:00:00Z"/>
        <d v="2012-01-16T00:00:00Z"/>
        <d v="2011-11-17T00:00:00Z"/>
        <d v="2012-06-06T00:00:00Z"/>
        <d v="2011-10-06T00:00:00Z"/>
        <d v="2012-05-08T00:00:00Z"/>
        <d v="2012-02-10T00:00:00Z"/>
        <d v="2011-12-12T00:00:00Z"/>
        <d v="2012-07-01T00:00:00Z"/>
        <d v="2011-10-31T00:00:00Z"/>
        <d v="2012-06-02T00:00:00Z"/>
        <d v="2011-08-07T00:00:00Z"/>
        <d v="2012-03-06T00:00:00Z"/>
        <d v="2012-01-06T00:00:00Z"/>
        <d v="2012-07-26T00:00:00Z"/>
        <d v="2011-11-25T00:00:00Z"/>
        <d v="2012-06-27T00:00:00Z"/>
        <d v="2011-09-01T00:00:00Z"/>
        <d v="2012-03-31T00:00:00Z"/>
        <d v="2012-01-31T00:00:00Z"/>
        <d v="2012-08-20T00:00:00Z"/>
        <d v="2011-12-20T00:00:00Z"/>
        <d v="2012-07-22T00:00:00Z"/>
        <d v="2011-09-26T00:00:00Z"/>
        <d v="2012-04-25T00:00:00Z"/>
        <d v="2012-02-25T00:00:00Z"/>
        <d v="2012-09-14T00:00:00Z"/>
        <d v="2012-01-14T00:00:00Z"/>
        <d v="2012-08-16T00:00:00Z"/>
        <d v="2011-10-21T00:00:00Z"/>
        <d v="2012-05-20T00:00:00Z"/>
        <d v="2012-03-21T00:00:00Z"/>
        <d v="2012-10-09T00:00:00Z"/>
        <d v="2012-02-08T00:00:00Z"/>
        <d v="2012-09-10T00:00:00Z"/>
        <d v="2011-11-15T00:00:00Z"/>
        <d v="2012-06-14T00:00:00Z"/>
        <d v="2012-04-15T00:00:00Z"/>
        <d v="2012-11-03T00:00:00Z"/>
        <d v="2012-03-04T00:00:00Z"/>
        <d v="2012-10-05T00:00:00Z"/>
        <d v="2011-12-10T00:00:00Z"/>
        <d v="2012-07-09T00:00:00Z"/>
        <d v="2012-05-10T00:00:00Z"/>
        <d v="2012-11-28T00:00:00Z"/>
        <d v="2012-03-29T00:00:00Z"/>
        <d v="2012-10-30T00:00:00Z"/>
        <d v="2012-01-04T00:00:00Z"/>
        <d v="2012-08-03T00:00:00Z"/>
        <d v="2012-06-04T00:00:00Z"/>
        <d v="2012-12-23T00:00:00Z"/>
        <d v="2012-04-23T00:00:00Z"/>
        <d v="2012-11-24T00:00:00Z"/>
        <d v="2012-08-28T00:00:00Z"/>
        <d v="2012-06-29T00:00:00Z"/>
        <d v="2012-01-17T00:00:00Z"/>
        <d v="2012-05-18T00:00:00Z"/>
        <d v="2012-12-19T00:00:00Z"/>
        <d v="2012-09-22T00:00:00Z"/>
        <d v="2012-07-24T00:00:00Z"/>
        <d v="2008-02-13T00:00:00Z"/>
        <d v="2009-10-20T00:00:00Z"/>
        <d v="2011-04-24T00:00:00Z"/>
        <d v="2011-07-12T00:00:00Z"/>
        <d v="2011-06-13T00:00:00Z"/>
        <d v="2011-03-17T00:00:00Z"/>
        <d v="2011-01-16T00:00:00Z"/>
        <d v="2011-08-06T00:00:00Z"/>
        <d v="2011-07-08T00:00:00Z"/>
        <d v="2011-04-11T00:00:00Z"/>
        <d v="2011-02-10T00:00:00Z"/>
        <d v="2011-08-31T00:00:00Z"/>
        <d v="2011-08-02T00:00:00Z"/>
        <d v="2011-05-06T00:00:00Z"/>
        <d v="2011-03-07T00:00:00Z"/>
        <d v="2011-09-25T00:00:00Z"/>
        <d v="2011-01-24T00:00:00Z"/>
        <d v="2011-08-27T00:00:00Z"/>
        <d v="2011-05-31T00:00:00Z"/>
        <d v="2011-04-01T00:00:00Z"/>
        <d v="2011-02-18T00:00:00Z"/>
        <d v="2011-09-21T00:00:00Z"/>
        <d v="2011-06-25T00:00:00Z"/>
        <d v="2011-04-26T00:00:00Z"/>
        <d v="2011-11-14T00:00:00Z"/>
        <d v="2012-01-25T00:00:00Z"/>
        <d v="2012-11-26T00:00:00Z"/>
        <d v="2012-06-16T00:00:00Z"/>
        <d v="2012-10-15T00:00:00Z"/>
        <d v="2011-05-18T00:00:00Z"/>
        <d v="2012-02-19T00:00:00Z"/>
        <d v="2012-12-21T00:00:00Z"/>
        <d v="2011-07-11T00:00:00Z"/>
        <d v="2012-11-09T00:00:00Z"/>
        <d v="2011-06-12T00:00:00Z"/>
        <d v="2011-03-16T00:00:00Z"/>
        <d v="2011-01-15T00:00:00Z"/>
        <d v="2011-08-05T00:00:00Z"/>
        <d v="2012-12-04T00:00:00Z"/>
        <d v="2011-07-07T00:00:00Z"/>
        <d v="2012-12-29T00:00:00Z"/>
        <d v="2011-08-01T00:00:00Z"/>
        <d v="2011-10-20T00:00:00Z"/>
      </sharedItems>
    </cacheField>
    <cacheField name="Month" numFmtId="0">
      <sharedItems containsSemiMixedTypes="0" containsString="0" containsNumber="1" containsInteger="1">
        <n v="2.0"/>
        <n v="6.0"/>
        <n v="3.0"/>
        <n v="10.0"/>
        <n v="8.0"/>
        <n v="1.0"/>
        <n v="4.0"/>
        <n v="11.0"/>
        <n v="9.0"/>
        <n v="7.0"/>
        <n v="5.0"/>
        <n v="12.0"/>
      </sharedItems>
    </cacheField>
    <cacheField name="Year" numFmtId="0">
      <sharedItems containsSemiMixedTypes="0" containsString="0" containsNumber="1" containsInteger="1">
        <n v="2012.0"/>
        <n v="2011.0"/>
        <n v="2008.0"/>
        <n v="2009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56" sheet="Sheet1"/>
  </cacheSource>
  <cacheFields>
    <cacheField name="Manufacturer" numFmtId="0">
      <sharedItems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Model">
      <sharedItems containsDate="1" containsMixedTypes="1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d v="2026-05-09T00:00:00Z"/>
        <d v="2026-03-09T00:00:00Z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Unit Sales" numFmtId="0">
      <sharedItems containsSemiMixedTypes="0" containsString="0" containsNumber="1" containsInteger="1">
        <n v="16919.0"/>
        <n v="39384.0"/>
        <n v="8588.0"/>
        <n v="20397.0"/>
        <n v="18780.0"/>
        <n v="1380.0"/>
        <n v="19747.0"/>
        <n v="9231.0"/>
        <n v="17527.0"/>
        <n v="91561.0"/>
        <n v="39350.0"/>
        <n v="27851.0"/>
        <n v="83257.0"/>
        <n v="63729.0"/>
        <n v="15943.0"/>
        <n v="6536.0"/>
        <n v="11185.0"/>
        <n v="14785.0"/>
        <n v="145519.0"/>
        <n v="135126.0"/>
        <n v="24629.0"/>
        <n v="42593.0"/>
        <n v="26402.0"/>
        <n v="17947.0"/>
        <n v="32299.0"/>
        <n v="21855.0"/>
        <n v="107995.0"/>
        <n v="7854.0"/>
        <n v="32775.0"/>
        <n v="31148.0"/>
        <n v="32306.0"/>
        <n v="13462.0"/>
        <n v="30696.0"/>
        <n v="76034.0"/>
        <n v="4734.0"/>
        <n v="71186.0"/>
        <n v="88028.0"/>
        <n v="916.0"/>
        <n v="227061.0"/>
        <n v="16767.0"/>
        <n v="31038.0"/>
        <n v="111313.0"/>
        <n v="101323.0"/>
        <n v="181749.0"/>
        <n v="70227.0"/>
        <n v="113369.0"/>
        <n v="35068.0"/>
        <n v="245815.0"/>
        <n v="175670.0"/>
        <n v="63403.0"/>
        <n v="276747.0"/>
        <n v="155787.0"/>
        <n v="125338.0"/>
        <n v="220650.0"/>
        <n v="540561.0"/>
        <n v="199685.0"/>
        <n v="230902.0"/>
        <n v="73203.0"/>
        <n v="12855.0"/>
        <n v="76029.0"/>
        <n v="41184.0"/>
        <n v="66692.0"/>
        <n v="29450.0"/>
        <n v="23713.0"/>
        <n v="15467.0"/>
        <n v="55557.0"/>
        <n v="80556.0"/>
        <n v="157040.0"/>
        <n v="24072.0"/>
        <n v="12698.0"/>
        <n v="3334.0"/>
        <n v="6375.0"/>
        <n v="9126.0"/>
        <n v="51238.0"/>
        <n v="13798.0"/>
        <n v="48911.0"/>
        <n v="22925.0"/>
        <n v="26232.0"/>
        <n v="42541.0"/>
        <n v="55616.0"/>
        <n v="5711.0"/>
        <n v="110.0"/>
        <n v="11337.0"/>
        <n v="39348.0"/>
        <n v="14351.0"/>
        <n v="26529.0"/>
        <n v="67956.0"/>
        <n v="81174.0"/>
        <n v="27609.0"/>
        <n v="20380.0"/>
        <n v="18392.0"/>
        <n v="27602.0"/>
        <n v="16774.0"/>
        <n v="3311.0"/>
        <n v="7998.0"/>
        <n v="1526.0"/>
        <n v="11592.0"/>
        <n v="954.0"/>
        <n v="28976.0"/>
        <n v="42643.0"/>
        <n v="88094.0"/>
        <n v="79853.0"/>
        <n v="27308.0"/>
        <n v="42574.0"/>
        <n v="54158.0"/>
        <n v="65005.0"/>
        <n v="1112.0"/>
        <n v="38554.0"/>
        <n v="80255.0"/>
        <n v="14690.0"/>
        <n v="20017.0"/>
        <n v="24361.0"/>
        <n v="32734.0"/>
        <n v="5240.0"/>
        <n v="24155.0"/>
        <n v="1872.0"/>
        <n v="51645.0"/>
        <n v="131097.0"/>
        <n v="19911.0"/>
        <n v="92364.0"/>
        <n v="35945.0"/>
        <n v="39572.0"/>
        <n v="8982.0"/>
        <n v="1280.0"/>
        <n v="1866.0"/>
        <n v="9191.0"/>
        <n v="12115.0"/>
        <n v="80620.0"/>
        <n v="24546.0"/>
        <n v="5223.0"/>
        <n v="8472.0"/>
        <n v="49989.0"/>
        <n v="47107.0"/>
        <n v="33028.0"/>
        <n v="142535.0"/>
        <n v="247994.0"/>
        <n v="63849.0"/>
        <n v="33269.0"/>
        <n v="84087.0"/>
        <n v="65119.0"/>
        <n v="25106.0"/>
        <n v="68411.0"/>
        <n v="9835.0"/>
        <n v="9761.0"/>
        <n v="83721.0"/>
        <n v="51102.0"/>
        <n v="9569.0"/>
        <n v="5596.0"/>
        <n v="49463.0"/>
        <n v="16957.0"/>
        <n v="3545.0"/>
        <n v="15245.0"/>
        <n v="17531.0"/>
        <n v="3493.0"/>
        <n v="18969.0"/>
      </sharedItems>
    </cacheField>
    <cacheField name="Price" numFmtId="164">
      <sharedItems containsSemiMixedTypes="0" containsString="0" containsNumber="1" containsInteger="1">
        <n v="21500.0"/>
        <n v="28400.0"/>
        <n v="42000.0"/>
        <n v="23990.0"/>
        <n v="33950.0"/>
        <n v="62000.0"/>
        <n v="26990.0"/>
        <n v="33400.0"/>
        <n v="38900.0"/>
        <n v="21975.0"/>
        <n v="25300.0"/>
        <n v="31965.0"/>
        <n v="27885.0"/>
        <n v="39895.0"/>
        <n v="44475.0"/>
        <n v="39665.0"/>
        <n v="31010.0"/>
        <n v="46225.0"/>
        <n v="13260.0"/>
        <n v="16535.0"/>
        <n v="18890.0"/>
        <n v="19390.0"/>
        <n v="24340.0"/>
        <n v="55705.0"/>
        <n v="13960.0"/>
        <n v="9235.0"/>
        <n v="19840.0"/>
        <n v="24495.0"/>
        <n v="22245.0"/>
        <n v="16480.0"/>
        <n v="28340.0"/>
        <n v="29185.0"/>
        <n v="12640.0"/>
        <n v="19045.0"/>
        <n v="20230.0"/>
        <n v="22505.0"/>
        <n v="69725.0"/>
        <n v="19460.0"/>
        <n v="21315.0"/>
        <n v="18575.0"/>
        <n v="16980.0"/>
        <n v="26310.0"/>
        <n v="19565.0"/>
        <n v="12070.0"/>
        <n v="21560.0"/>
        <n v="17035.0"/>
        <n v="17885.0"/>
        <n v="12315.0"/>
        <n v="22195.0"/>
        <n v="31930.0"/>
        <n v="21410.0"/>
        <n v="36135.0"/>
        <n v="12050.0"/>
        <n v="26935.0"/>
        <n v="12885.0"/>
        <n v="15350.0"/>
        <n v="20550.0"/>
        <n v="26600.0"/>
        <n v="26000.0"/>
        <n v="9699.0"/>
        <n v="11799.0"/>
        <n v="14999.0"/>
        <n v="29465.0"/>
        <n v="42800.0"/>
        <n v="14460.0"/>
        <n v="21620.0"/>
        <n v="26895.0"/>
        <n v="31505.0"/>
        <n v="37805.0"/>
        <n v="46305.0"/>
        <n v="54005.0"/>
        <n v="60105.0"/>
        <n v="34605.0"/>
        <n v="39080.0"/>
        <n v="43330.0"/>
        <n v="42660.0"/>
        <n v="13987.0"/>
        <n v="19047.0"/>
        <n v="17357.0"/>
        <n v="24997.0"/>
        <n v="25450.0"/>
        <n v="31807.0"/>
        <n v="22527.0"/>
        <n v="16240.0"/>
        <n v="16540.0"/>
        <n v="19035.0"/>
        <n v="22605.0"/>
        <n v="27560.0"/>
        <n v="22510.0"/>
        <n v="31750.0"/>
        <n v="49900.0"/>
        <n v="69700.0"/>
        <n v="82600.0"/>
        <n v="41000.0"/>
        <n v="41600.0"/>
        <n v="85500.0"/>
        <n v="35300.0"/>
        <n v="13499.0"/>
        <n v="20390.0"/>
        <n v="26249.0"/>
        <n v="26399.0"/>
        <n v="29299.0"/>
        <n v="22799.0"/>
        <n v="17890.0"/>
        <n v="18145.0"/>
        <n v="24150.0"/>
        <n v="18270.0"/>
        <n v="36229.0"/>
        <n v="31598.0"/>
        <n v="25345.0"/>
        <n v="16080.0"/>
        <n v="18850.0"/>
        <n v="43000.0"/>
        <n v="21610.0"/>
        <n v="19720.0"/>
        <n v="25310.0"/>
        <n v="21665.0"/>
        <n v="23755.0"/>
        <n v="25635.0"/>
        <n v="41430.0"/>
        <n v="71020.0"/>
        <n v="74970.0"/>
        <n v="33120.0"/>
        <n v="26100.0"/>
        <n v="10685.0"/>
        <n v="12535.0"/>
        <n v="14290.0"/>
        <n v="18835.0"/>
        <n v="15010.0"/>
        <n v="22695.0"/>
        <n v="20095.0"/>
        <n v="13108.0"/>
        <n v="17518.0"/>
        <n v="25545.0"/>
        <n v="16875.0"/>
        <n v="11528.0"/>
        <n v="22368.0"/>
        <n v="16888.0"/>
        <n v="22288.0"/>
        <n v="51728.0"/>
        <n v="14900.0"/>
        <n v="16700.0"/>
        <n v="21200.0"/>
        <n v="19990.0"/>
        <n v="17500.0"/>
        <n v="15900.0"/>
        <n v="23400.0"/>
        <n v="24400.0"/>
        <n v="27500.0"/>
        <n v="28800.0"/>
        <n v="45500.0"/>
        <n v="36000.0"/>
      </sharedItems>
    </cacheField>
    <cacheField name="Year Resale Value" numFmtId="164">
      <sharedItems containsSemiMixedTypes="0" containsString="0" containsNumber="1" containsInteger="1">
        <n v="16360.0"/>
        <n v="19875.0"/>
        <n v="29725.0"/>
        <n v="22255.0"/>
        <n v="23555.0"/>
        <n v="39000.0"/>
        <n v="24500.0"/>
        <n v="28675.0"/>
        <n v="36125.0"/>
        <n v="12475.0"/>
        <n v="13740.0"/>
        <n v="20190.0"/>
        <n v="13360.0"/>
        <n v="22525.0"/>
        <n v="27100.0"/>
        <n v="25725.0"/>
        <n v="18225.0"/>
        <n v="31245.0"/>
        <n v="9250.0"/>
        <n v="11225.0"/>
        <n v="10310.0"/>
        <n v="11525.0"/>
        <n v="13025.0"/>
        <n v="36225.0"/>
        <n v="9125.0"/>
        <n v="5160.0"/>
        <n v="11550.0"/>
        <n v="12360.0"/>
        <n v="14180.0"/>
        <n v="13725.0"/>
        <n v="12640.0"/>
        <n v="17325.0"/>
        <n v="18425.0"/>
        <n v="7750.0"/>
        <n v="12545.0"/>
        <n v="10185.0"/>
        <n v="12275.0"/>
        <n v="58470.0"/>
        <n v="15060.0"/>
        <n v="15510.0"/>
        <n v="13425.0"/>
        <n v="11260.0"/>
        <n v="21436.0"/>
        <n v="12025.0"/>
        <n v="7425.0"/>
        <n v="12760.0"/>
        <n v="8835.0"/>
        <n v="10055.0"/>
        <n v="8670.0"/>
        <n v="14210.0"/>
        <n v="16640.0"/>
        <n v="13175.0"/>
        <n v="23575.0"/>
        <n v="7850.0"/>
        <n v="15075.0"/>
        <n v="9850.0"/>
        <n v="13210.0"/>
        <n v="17710.0"/>
        <n v="17525.0"/>
        <n v="19490.0"/>
        <n v="5860.0"/>
        <n v="7825.0"/>
        <n v="8910.0"/>
        <n v="19690.0"/>
        <n v="33219.0"/>
        <n v="13475.0"/>
        <n v="13775.0"/>
        <n v="18810.0"/>
        <n v="26975.0"/>
        <n v="32075.0"/>
        <n v="38955.0"/>
        <n v="40375.0"/>
        <n v="43870.0"/>
        <n v="29140.0"/>
        <n v="20525.0"/>
        <n v="21725.0"/>
        <n v="20765.0"/>
        <n v="8325.0"/>
        <n v="10395.0"/>
        <n v="10595.0"/>
        <n v="16575.0"/>
        <n v="20940.0"/>
        <n v="19125.0"/>
        <n v="13880.0"/>
        <n v="8800.0"/>
        <n v="13890.0"/>
        <n v="11030.0"/>
        <n v="14875.0"/>
        <n v="20430.0"/>
        <n v="14795.0"/>
        <n v="26050.0"/>
        <n v="41450.0"/>
        <n v="50375.0"/>
        <n v="58600.0"/>
        <n v="32436.0"/>
        <n v="28635.0"/>
        <n v="29200.0"/>
        <n v="63423.0"/>
        <n v="28720.0"/>
        <n v="8450.0"/>
        <n v="11295.0"/>
        <n v="15125.0"/>
        <n v="15380.0"/>
        <n v="17810.0"/>
        <n v="13093.0"/>
        <n v="10670.0"/>
        <n v="11240.0"/>
        <n v="17100.0"/>
        <n v="11459.0"/>
        <n v="19890.0"/>
        <n v="19925.0"/>
        <n v="15240.0"/>
        <n v="9800.0"/>
        <n v="30434.0"/>
        <n v="13790.0"/>
        <n v="10290.0"/>
        <n v="17805.0"/>
        <n v="14010.0"/>
        <n v="13225.0"/>
        <n v="14215.0"/>
        <n v="41250.0"/>
        <n v="60625.0"/>
        <n v="67550.0"/>
        <n v="22789.0"/>
        <n v="18255.0"/>
        <n v="9200.0"/>
        <n v="10590.0"/>
        <n v="10790.0"/>
        <n v="13700.0"/>
        <n v="9900.0"/>
        <n v="16770.0"/>
        <n v="14832.0"/>
        <n v="10025.0"/>
        <n v="13245.0"/>
        <n v="18140.0"/>
        <n v="15445.0"/>
        <n v="9575.0"/>
        <n v="18689.0"/>
        <n v="13325.0"/>
        <n v="19425.0"/>
        <n v="34080.0"/>
        <n v="11425.0"/>
        <n v="13240.0"/>
        <n v="16725.0"/>
        <n v="13760.0"/>
        <n v="11986.0"/>
        <n v="14334.0"/>
        <n v="15252.0"/>
        <n v="18900.0"/>
        <n v="20223.0"/>
        <n v="34175.0"/>
        <n v="26403.0"/>
      </sharedItems>
    </cacheField>
    <cacheField name="Retention %" numFmtId="9">
      <sharedItems containsSemiMixedTypes="0" containsString="0" containsNumber="1">
        <n v="0.76"/>
        <n v="0.7"/>
        <n v="0.71"/>
        <n v="0.93"/>
        <n v="0.69"/>
        <n v="0.63"/>
        <n v="0.91"/>
        <n v="0.86"/>
        <n v="0.57"/>
        <n v="0.54"/>
        <n v="0.48"/>
        <n v="0.56"/>
        <n v="0.61"/>
        <n v="0.65"/>
        <n v="0.59"/>
        <n v="0.68"/>
        <n v="0.55"/>
        <n v="0.62"/>
        <n v="0.58"/>
        <n v="0.77"/>
        <n v="0.66"/>
        <n v="0.5"/>
        <n v="0.84"/>
        <n v="0.73"/>
        <n v="0.72"/>
        <n v="0.81"/>
        <n v="0.52"/>
        <n v="0.64"/>
        <n v="0.75"/>
        <n v="0.6"/>
        <n v="0.67"/>
        <n v="0.78"/>
        <n v="0.85"/>
        <n v="0.53"/>
        <n v="0.49"/>
        <n v="0.82"/>
        <n v="0.74"/>
        <n v="0.83"/>
        <n v="1.0"/>
        <n v="0.9"/>
        <n v="0.92"/>
        <n v="0.79"/>
        <n v="0.87"/>
      </sharedItems>
    </cacheField>
    <cacheField name="Retention Value" numFmtId="0">
      <sharedItems>
        <s v="GOOD"/>
        <s v="POOR"/>
      </sharedItems>
    </cacheField>
    <cacheField name="Engine Size" numFmtId="0">
      <sharedItems containsSemiMixedTypes="0" containsString="0" containsNumber="1">
        <n v="1.8"/>
        <n v="3.2"/>
        <n v="3.5"/>
        <n v="2.8"/>
        <n v="4.2"/>
        <n v="2.5"/>
        <n v="3.1"/>
        <n v="3.8"/>
        <n v="4.6"/>
        <n v="3.0"/>
        <n v="5.7"/>
        <n v="2.2"/>
        <n v="3.4"/>
        <n v="1.0"/>
        <n v="2.7"/>
        <n v="2.0"/>
        <n v="8.0"/>
        <n v="5.2"/>
        <n v="3.9"/>
        <n v="2.4"/>
        <n v="4.0"/>
        <n v="1.6"/>
        <n v="2.3"/>
        <n v="1.5"/>
        <n v="4.7"/>
        <n v="5.4"/>
        <n v="3.3"/>
        <n v="4.3"/>
        <n v="5.0"/>
        <n v="1.9"/>
        <n v="2.9"/>
      </sharedItems>
    </cacheField>
    <cacheField name="Horsepower" numFmtId="0">
      <sharedItems containsSemiMixedTypes="0" containsString="0" containsNumber="1" containsInteger="1">
        <n v="140.0"/>
        <n v="225.0"/>
        <n v="210.0"/>
        <n v="150.0"/>
        <n v="200.0"/>
        <n v="310.0"/>
        <n v="170.0"/>
        <n v="193.0"/>
        <n v="175.0"/>
        <n v="240.0"/>
        <n v="205.0"/>
        <n v="275.0"/>
        <n v="255.0"/>
        <n v="115.0"/>
        <n v="180.0"/>
        <n v="345.0"/>
        <n v="120.0"/>
        <n v="55.0"/>
        <n v="163.0"/>
        <n v="168.0"/>
        <n v="132.0"/>
        <n v="253.0"/>
        <n v="202.0"/>
        <n v="450.0"/>
        <n v="230.0"/>
        <n v="110.0"/>
        <n v="190.0"/>
        <n v="155.0"/>
        <n v="107.0"/>
        <n v="119.0"/>
        <n v="220.0"/>
        <n v="106.0"/>
        <n v="135.0"/>
        <n v="146.0"/>
        <n v="92.0"/>
        <n v="148.0"/>
        <n v="227.0"/>
        <n v="195.0"/>
        <n v="300.0"/>
        <n v="290.0"/>
        <n v="215.0"/>
        <n v="113.0"/>
        <n v="154.0"/>
        <n v="145.0"/>
        <n v="161.0"/>
        <n v="173.0"/>
        <n v="125.0"/>
        <n v="153.0"/>
        <n v="185.0"/>
        <n v="221.0"/>
        <n v="302.0"/>
        <n v="126.0"/>
        <n v="222.0"/>
        <n v="250.0"/>
        <n v="217.0"/>
        <n v="100.0"/>
        <n v="124.0"/>
        <n v="137.0"/>
        <n v="165.0"/>
        <n v="133.0"/>
        <n v="142.0"/>
        <n v="194.0"/>
        <n v="127.0"/>
        <n v="160.0"/>
        <n v="236.0"/>
        <n v="201.0"/>
      </sharedItems>
    </cacheField>
    <cacheField name="HP Level" numFmtId="0">
      <sharedItems>
        <s v="Medium HP"/>
        <s v="High HP"/>
        <s v="Low HP"/>
      </sharedItems>
    </cacheField>
    <cacheField name="Vehicle_type" numFmtId="0">
      <sharedItems>
        <s v="Passenger"/>
        <s v="Car"/>
      </sharedItems>
    </cacheField>
    <cacheField name="Fuel Efficiency" numFmtId="0">
      <sharedItems containsSemiMixedTypes="0" containsString="0" containsNumber="1" containsInteger="1">
        <n v="28.0"/>
        <n v="25.0"/>
        <n v="22.0"/>
        <n v="27.0"/>
        <n v="21.0"/>
        <n v="26.0"/>
        <n v="24.0"/>
        <n v="23.0"/>
        <n v="15.0"/>
        <n v="33.0"/>
        <n v="45.0"/>
        <n v="29.0"/>
        <n v="16.0"/>
        <n v="17.0"/>
        <n v="19.0"/>
        <n v="30.0"/>
        <n v="18.0"/>
        <n v="32.0"/>
        <n v="31.0"/>
        <n v="20.0"/>
      </sharedItems>
    </cacheField>
    <cacheField name="Power Perf Factor" numFmtId="0">
      <sharedItems containsSemiMixedTypes="0" containsString="0" containsNumber="1">
        <n v="58.28014952"/>
        <n v="91.37077766"/>
        <n v="91.38977933"/>
        <n v="62.7776392"/>
        <n v="84.56510502"/>
        <n v="134.6568582"/>
        <n v="71.19120671"/>
        <n v="81.87706856"/>
        <n v="83.9987238"/>
        <n v="71.18145132"/>
        <n v="95.63670253"/>
        <n v="85.82840825"/>
        <n v="84.25452581"/>
        <n v="113.8545976"/>
        <n v="115.6213578"/>
        <n v="113.7658739"/>
        <n v="83.48309358"/>
        <n v="109.5091165"/>
        <n v="46.36334747"/>
        <n v="67.31446216"/>
        <n v="69.9913956"/>
        <n v="72.03091719"/>
        <n v="81.11854333"/>
        <n v="141.14115"/>
        <n v="48.2976361"/>
        <n v="23.27627233"/>
        <n v="71.83803944"/>
        <n v="65.95718396"/>
        <n v="69.52135505"/>
        <n v="80.02378204"/>
        <n v="53.56619987"/>
        <n v="101.3292807"/>
        <n v="101.6552441"/>
        <n v="52.08489875"/>
        <n v="65.65050834"/>
        <n v="67.87610784"/>
        <n v="80.83147017"/>
        <n v="188.144323"/>
        <n v="90.21170005"/>
        <n v="71.13529161"/>
        <n v="70.07832154"/>
        <n v="49.64500177"/>
        <n v="92.85412522"/>
        <n v="61.22700031"/>
        <n v="44.08370946"/>
        <n v="76.50918456"/>
        <n v="67.35101072"/>
        <n v="62.5037395"/>
        <n v="43.11713201"/>
        <n v="80.49953671"/>
        <n v="87.63549578"/>
        <n v="62.09504839"/>
        <n v="100.0248023"/>
        <n v="47.38953131"/>
        <n v="89.40193473"/>
        <n v="42.87909734"/>
        <n v="54.26954829"/>
        <n v="60.08796662"/>
        <n v="83.6025008"/>
        <n v="85.21769134"/>
        <n v="36.67228358"/>
        <n v="54.59004516"/>
        <n v="58.758249"/>
        <n v="92.43688923"/>
        <n v="102.1789848"/>
        <n v="48.67289791"/>
        <n v="76.58443962"/>
        <n v="80.38777912"/>
        <n v="87.21100104"/>
        <n v="94.9466984"/>
        <n v="125.0133574"/>
        <n v="124.4467163"/>
        <n v="105.760458"/>
        <n v="91.94380156"/>
        <n v="113.5402069"/>
        <n v="93.9579169"/>
        <n v="123.9720467"/>
        <n v="45.83218056"/>
        <n v="62.44196235"/>
        <n v="58.60677292"/>
        <n v="84.83077858"/>
        <n v="67.54415494"/>
        <n v="83.92081504"/>
        <n v="70.66094179"/>
        <n v="50.99774761"/>
        <n v="51.11347426"/>
        <n v="62.23996663"/>
        <n v="80.65769646"/>
        <n v="85.94974425"/>
        <n v="69.671461"/>
        <n v="78.28073088"/>
        <n v="98.2497375"/>
        <n v="125.2738757"/>
        <n v="139.9822936"/>
        <n v="82.80736193"/>
        <n v="81.84896924"/>
        <n v="92.92579177"/>
        <n v="141.1009845"/>
        <n v="90.49553213"/>
        <n v="50.24197791"/>
        <n v="63.31372783"/>
        <n v="89.42782031"/>
        <n v="71.17166413"/>
        <n v="72.29035508"/>
        <n v="69.78294434"/>
        <n v="67.88927059"/>
        <n v="60.86161155"/>
        <n v="86.27252291"/>
        <n v="60.72744693"/>
        <n v="103.4416926"/>
        <n v="80.51167259"/>
        <n v="76.09657042"/>
        <n v="53.41189767"/>
        <n v="60.95118512"/>
        <n v="106.9844563"/>
        <n v="62.0158703"/>
        <n v="70.38973726"/>
        <n v="81.49272616"/>
        <n v="78.31816813"/>
        <n v="82.6613556"/>
        <n v="76.20843952"/>
        <n v="93.4373307"/>
        <n v="134.3909754"/>
        <n v="135.9147096"/>
        <n v="73.50377819"/>
        <n v="76.02304771"/>
        <n v="39.98642475"/>
        <n v="40.70007242"/>
        <n v="49.86577367"/>
        <n v="56.29524304"/>
        <n v="54.81972825"/>
        <n v="67.7659076"/>
        <n v="66.76294331"/>
        <n v="47.96897242"/>
        <n v="54.37241965"/>
        <n v="84.91189826"/>
        <n v="56.49603034"/>
        <n v="55.29711658"/>
        <n v="78.02721947"/>
        <n v="51.95510887"/>
        <n v="62.35557713"/>
        <n v="102.5289842"/>
        <n v="46.94387676"/>
        <n v="47.63823666"/>
        <n v="61.70138136"/>
        <n v="48.90737225"/>
        <n v="47.94684106"/>
        <n v="47.32963226"/>
        <n v="66.1130568"/>
        <n v="66.4988123"/>
        <n v="70.65449545"/>
        <n v="71.1559776"/>
        <n v="101.6233572"/>
        <n v="85.73565451"/>
      </sharedItems>
    </cacheField>
    <cacheField name="Wheelbase" numFmtId="0">
      <sharedItems containsSemiMixedTypes="0" containsString="0" containsNumber="1">
        <n v="101.2"/>
        <n v="108.1"/>
        <n v="114.6"/>
        <n v="102.6"/>
        <n v="108.7"/>
        <n v="113.0"/>
        <n v="107.3"/>
        <n v="111.4"/>
        <n v="109.0"/>
        <n v="113.8"/>
        <n v="112.2"/>
        <n v="115.3"/>
        <n v="108.0"/>
        <n v="107.4"/>
        <n v="117.5"/>
        <n v="104.1"/>
        <n v="107.0"/>
        <n v="107.5"/>
        <n v="110.5"/>
        <n v="101.1"/>
        <n v="104.5"/>
        <n v="97.1"/>
        <n v="93.1"/>
        <n v="103.7"/>
        <n v="106.0"/>
        <n v="105.0"/>
        <n v="96.2"/>
        <n v="138.7"/>
        <n v="109.6"/>
        <n v="127.2"/>
        <n v="131.0"/>
        <n v="115.7"/>
        <n v="113.3"/>
        <n v="98.4"/>
        <n v="101.3"/>
        <n v="106.5"/>
        <n v="108.5"/>
        <n v="103.0"/>
        <n v="114.7"/>
        <n v="111.6"/>
        <n v="120.7"/>
        <n v="119.0"/>
        <n v="138.5"/>
        <n v="103.2"/>
        <n v="106.9"/>
        <n v="106.4"/>
        <n v="118.1"/>
        <n v="96.1"/>
        <n v="100.4"/>
        <n v="106.3"/>
        <n v="108.3"/>
        <n v="114.5"/>
        <n v="93.4"/>
        <n v="101.4"/>
        <n v="105.9"/>
        <n v="105.1"/>
        <n v="110.2"/>
        <n v="117.7"/>
        <n v="100.8"/>
        <n v="107.1"/>
        <n v="97.2"/>
        <n v="111.5"/>
        <n v="121.5"/>
        <n v="99.0"/>
        <n v="94.5"/>
        <n v="113.6"/>
        <n v="111.0"/>
        <n v="99.8"/>
        <n v="103.1"/>
        <n v="104.3"/>
        <n v="116.1"/>
        <n v="120.0"/>
        <n v="95.2"/>
        <n v="92.6"/>
        <n v="102.4"/>
        <n v="103.5"/>
        <n v="99.4"/>
        <n v="97.0"/>
        <n v="105.2"/>
        <n v="103.3"/>
        <n v="114.2"/>
        <n v="94.9"/>
        <n v="105.3"/>
        <n v="98.9"/>
        <n v="97.4"/>
        <n v="100.5"/>
        <n v="104.9"/>
        <n v="109.9"/>
      </sharedItems>
    </cacheField>
    <cacheField name="Width" numFmtId="0">
      <sharedItems containsSemiMixedTypes="0" containsString="0" containsNumber="1">
        <n v="67.3"/>
        <n v="70.3"/>
        <n v="71.4"/>
        <n v="68.2"/>
        <n v="76.1"/>
        <n v="74.0"/>
        <n v="68.4"/>
        <n v="68.5"/>
        <n v="70.9"/>
        <n v="72.7"/>
        <n v="74.7"/>
        <n v="73.5"/>
        <n v="74.5"/>
        <n v="75.0"/>
        <n v="75.5"/>
        <n v="77.0"/>
        <n v="67.9"/>
        <n v="69.4"/>
        <n v="72.5"/>
        <n v="74.1"/>
        <n v="73.6"/>
        <n v="66.7"/>
        <n v="62.6"/>
        <n v="73.0"/>
        <n v="69.7"/>
        <n v="69.2"/>
        <n v="74.4"/>
        <n v="71.0"/>
        <n v="69.1"/>
        <n v="75.7"/>
        <n v="79.3"/>
        <n v="78.8"/>
        <n v="71.5"/>
        <n v="71.7"/>
        <n v="76.8"/>
        <n v="67.0"/>
        <n v="73.1"/>
        <n v="66.9"/>
        <n v="78.2"/>
        <n v="70.2"/>
        <n v="76.6"/>
        <n v="78.7"/>
        <n v="79.1"/>
        <n v="67.1"/>
        <n v="68.9"/>
        <n v="70.4"/>
        <n v="75.6"/>
        <n v="65.7"/>
        <n v="71.6"/>
        <n v="72.3"/>
        <n v="70.5"/>
        <n v="72.0"/>
        <n v="76.4"/>
        <n v="79.9"/>
        <n v="66.5"/>
        <n v="72.4"/>
        <n v="69.9"/>
        <n v="69.6"/>
        <n v="74.9"/>
        <n v="67.7"/>
        <n v="70.8"/>
        <n v="71.3"/>
        <n v="67.5"/>
        <n v="67.8"/>
        <n v="72.2"/>
        <n v="70.1"/>
        <n v="76.3"/>
        <n v="72.6"/>
        <n v="69.5"/>
        <n v="70.6"/>
        <n v="67.4"/>
        <n v="66.4"/>
        <n v="69.0"/>
        <n v="68.3"/>
        <n v="73.4"/>
        <n v="67.6"/>
        <n v="69.3"/>
        <n v="72.1"/>
      </sharedItems>
    </cacheField>
    <cacheField name="Length" numFmtId="0">
      <sharedItems containsSemiMixedTypes="0" containsString="0" containsNumber="1">
        <n v="172.4"/>
        <n v="192.9"/>
        <n v="196.6"/>
        <n v="178.0"/>
        <n v="192.0"/>
        <n v="198.2"/>
        <n v="176.0"/>
        <n v="188.0"/>
        <n v="194.6"/>
        <n v="196.2"/>
        <n v="206.8"/>
        <n v="200.0"/>
        <n v="207.2"/>
        <n v="201.0"/>
        <n v="200.6"/>
        <n v="194.8"/>
        <n v="201.2"/>
        <n v="180.9"/>
        <n v="190.4"/>
        <n v="200.9"/>
        <n v="197.9"/>
        <n v="193.2"/>
        <n v="179.7"/>
        <n v="174.3"/>
        <n v="149.4"/>
        <n v="190.9"/>
        <n v="193.0"/>
        <n v="209.1"/>
        <n v="186.0"/>
        <n v="207.7"/>
        <n v="197.8"/>
        <n v="174.4"/>
        <n v="190.2"/>
        <n v="203.7"/>
        <n v="176.7"/>
        <n v="224.2"/>
        <n v="192.6"/>
        <n v="208.5"/>
        <n v="215.0"/>
        <n v="193.5"/>
        <n v="186.3"/>
        <n v="174.7"/>
        <n v="183.2"/>
        <n v="184.6"/>
        <n v="197.6"/>
        <n v="174.8"/>
        <n v="212.0"/>
        <n v="190.7"/>
        <n v="204.6"/>
        <n v="200.7"/>
        <n v="224.5"/>
        <n v="175.1"/>
        <n v="188.8"/>
        <n v="177.6"/>
        <n v="178.2"/>
        <n v="166.7"/>
        <n v="174.0"/>
        <n v="185.4"/>
        <n v="193.7"/>
        <n v="191.3"/>
        <n v="152.0"/>
        <n v="167.5"/>
        <n v="181.5"/>
        <n v="189.2"/>
        <n v="196.7"/>
        <n v="192.5"/>
        <n v="180.1"/>
        <n v="215.3"/>
        <n v="204.8"/>
        <n v="173.6"/>
        <n v="175.4"/>
        <n v="187.8"/>
        <n v="194.1"/>
        <n v="180.3"/>
        <n v="186.6"/>
        <n v="178.3"/>
        <n v="184.8"/>
        <n v="185.0"/>
        <n v="199.7"/>
        <n v="190.1"/>
        <n v="194.7"/>
        <n v="177.4"/>
        <n v="189.4"/>
        <n v="203.1"/>
        <n v="177.1"/>
        <n v="157.9"/>
        <n v="157.3"/>
        <n v="180.6"/>
        <n v="177.5"/>
        <n v="183.5"/>
        <n v="190.5"/>
        <n v="182.6"/>
        <n v="196.1"/>
        <n v="195.9"/>
        <n v="186.7"/>
        <n v="205.4"/>
        <n v="181.2"/>
        <n v="201.4"/>
        <n v="165.4"/>
        <n v="181.9"/>
        <n v="193.4"/>
        <n v="196.5"/>
        <n v="202.5"/>
        <n v="201.3"/>
        <n v="171.0"/>
        <n v="174.5"/>
        <n v="182.2"/>
        <n v="176.9"/>
        <n v="180.0"/>
        <n v="185.8"/>
        <n v="175.2"/>
        <n v="188.5"/>
        <n v="191.9"/>
        <n v="170.5"/>
        <n v="178.7"/>
        <n v="163.8"/>
        <n v="183.3"/>
        <n v="163.3"/>
        <n v="172.3"/>
        <n v="184.1"/>
        <n v="160.4"/>
        <n v="161.1"/>
        <n v="176.6"/>
        <n v="185.9"/>
        <n v="186.2"/>
        <n v="185.7"/>
        <n v="189.8"/>
      </sharedItems>
    </cacheField>
    <cacheField name="Curb Weight" numFmtId="0">
      <sharedItems containsSemiMixedTypes="0" containsString="0" containsNumber="1">
        <n v="2.639"/>
        <n v="3.517"/>
        <n v="3.85"/>
        <n v="2.998"/>
        <n v="3.561"/>
        <n v="3.902"/>
        <n v="3.179"/>
        <n v="3.197"/>
        <n v="3.472"/>
        <n v="3.368"/>
        <n v="3.543"/>
        <n v="3.778"/>
        <n v="3.591"/>
        <n v="3.978"/>
        <n v="3.875"/>
        <n v="3.843"/>
        <n v="3.77"/>
        <n v="5.572"/>
        <n v="2.676"/>
        <n v="3.051"/>
        <n v="3.33"/>
        <n v="3.34"/>
        <n v="3.5"/>
        <n v="3.21"/>
        <n v="2.398"/>
        <n v="1.895"/>
        <n v="3.389"/>
        <n v="2.967"/>
        <n v="3.332"/>
        <n v="3.452"/>
        <n v="2.911"/>
        <n v="3.564"/>
        <n v="3.567"/>
        <n v="2.567"/>
        <n v="2.879"/>
        <n v="3.058"/>
        <n v="3.489"/>
        <n v="3.375"/>
        <n v="4.47"/>
        <n v="4.245"/>
        <n v="4.298"/>
        <n v="3.557"/>
        <n v="4.394"/>
        <n v="3.533"/>
        <n v="2.468"/>
        <n v="3.203"/>
        <n v="2.769"/>
        <n v="2.564"/>
        <n v="3.908"/>
        <n v="3.876"/>
        <n v="3.761"/>
        <n v="4.808"/>
        <n v="3.086"/>
        <n v="4.241"/>
        <n v="2.339"/>
        <n v="2.932"/>
        <n v="3.219"/>
        <n v="3.857"/>
        <n v="4.288"/>
        <n v="2.24"/>
        <n v="2.626"/>
        <n v="3.072"/>
        <n v="3.342"/>
        <n v="3.65"/>
        <n v="3.045"/>
        <n v="3.194"/>
        <n v="3.88"/>
        <n v="3.373"/>
        <n v="3.638"/>
        <n v="3.693"/>
        <n v="3.89"/>
        <n v="5.401"/>
        <n v="3.9"/>
        <n v="3.868"/>
        <n v="4.121"/>
        <n v="5.393"/>
        <n v="2.25"/>
        <n v="2.91"/>
        <n v="2.945"/>
        <n v="3.443"/>
        <n v="3.131"/>
        <n v="4.52"/>
        <n v="3.51"/>
        <n v="2.892"/>
        <n v="3.379"/>
        <n v="3.958"/>
        <n v="3.944"/>
        <n v="3.25"/>
        <n v="3.823"/>
        <n v="4.133"/>
        <n v="4.125"/>
        <n v="3.055"/>
        <n v="2.975"/>
        <n v="3.213"/>
        <n v="4.115"/>
        <n v="4.387"/>
        <n v="2.593"/>
        <n v="3.012"/>
        <n v="3.294"/>
        <n v="3.991"/>
        <n v="3.947"/>
        <n v="3.821"/>
        <n v="3.217"/>
        <n v="3.102"/>
        <n v="3.455"/>
        <n v="2.958"/>
        <n v="3.967"/>
        <n v="4.068"/>
        <n v="3.948"/>
        <n v="2.559"/>
        <n v="2.942"/>
        <n v="3.528"/>
        <n v="2.85"/>
        <n v="2.906"/>
        <n v="3.091"/>
        <n v="3.492"/>
        <n v="3.396"/>
        <n v="3.59"/>
        <n v="3.942"/>
        <n v="2.778"/>
        <n v="3.032"/>
        <n v="3.075"/>
        <n v="3.28"/>
        <n v="2.99"/>
        <n v="2.332"/>
        <n v="2.367"/>
        <n v="2.452"/>
        <n v="3.415"/>
        <n v="3.125"/>
        <n v="2.42"/>
        <n v="3.417"/>
        <n v="2.425"/>
        <n v="2.58"/>
        <n v="3.759"/>
        <n v="2.668"/>
        <n v="3.44"/>
        <n v="5.115"/>
        <n v="2.767"/>
        <n v="2.853"/>
        <n v="3.043"/>
        <n v="3.079"/>
        <n v="2.762"/>
        <n v="3.042"/>
        <n v="3.208"/>
        <n v="3.259"/>
        <n v="3.601"/>
        <n v="3.6"/>
      </sharedItems>
    </cacheField>
    <cacheField name="Fuel Capacity" numFmtId="0">
      <sharedItems containsSemiMixedTypes="0" containsString="0" containsNumber="1">
        <n v="13.2"/>
        <n v="17.2"/>
        <n v="18.0"/>
        <n v="16.4"/>
        <n v="18.5"/>
        <n v="23.7"/>
        <n v="16.6"/>
        <n v="17.5"/>
        <n v="19.0"/>
        <n v="30.0"/>
        <n v="14.3"/>
        <n v="15.0"/>
        <n v="17.0"/>
        <n v="16.8"/>
        <n v="19.1"/>
        <n v="10.3"/>
        <n v="15.9"/>
        <n v="16.0"/>
        <n v="12.5"/>
        <n v="26.0"/>
        <n v="32.0"/>
        <n v="22.0"/>
        <n v="25.0"/>
        <n v="20.0"/>
        <n v="12.7"/>
        <n v="15.7"/>
        <n v="21.0"/>
        <n v="25.1"/>
        <n v="11.9"/>
        <n v="17.1"/>
        <n v="15.3"/>
        <n v="21.1"/>
        <n v="14.5"/>
        <n v="18.4"/>
        <n v="20.5"/>
        <n v="19.8"/>
        <n v="22.5"/>
        <n v="25.4"/>
        <n v="16.3"/>
        <n v="24.3"/>
        <n v="19.5"/>
        <n v="23.2"/>
        <n v="14.0"/>
        <n v="19.4"/>
        <n v="15.2"/>
        <n v="12.0"/>
        <n v="16.9"/>
        <n v="12.1"/>
        <n v="13.1"/>
        <n v="15.1"/>
        <n v="20.9"/>
        <n v="13.7"/>
        <n v="14.6"/>
        <n v="15.8"/>
        <n v="17.9"/>
      </sharedItems>
    </cacheField>
    <cacheField name="Latest Launch" numFmtId="165">
      <sharedItems containsSemiMixedTypes="0" containsDate="1" containsString="0">
        <d v="2012-02-02T00:00:00Z"/>
        <d v="2011-06-03T00:00:00Z"/>
        <d v="2011-03-10T00:00:00Z"/>
        <d v="2011-10-08T00:00:00Z"/>
        <d v="2011-08-09T00:00:00Z"/>
        <d v="2012-02-27T00:00:00Z"/>
        <d v="2011-06-28T00:00:00Z"/>
        <d v="2012-01-29T00:00:00Z"/>
        <d v="2011-04-04T00:00:00Z"/>
        <d v="2011-11-02T00:00:00Z"/>
        <d v="2011-09-03T00:00:00Z"/>
        <d v="2012-03-23T00:00:00Z"/>
        <d v="2011-07-23T00:00:00Z"/>
        <d v="2012-02-23T00:00:00Z"/>
        <d v="2011-04-29T00:00:00Z"/>
        <d v="2011-11-27T00:00:00Z"/>
        <d v="2011-09-28T00:00:00Z"/>
        <d v="2012-04-17T00:00:00Z"/>
        <d v="2011-08-17T00:00:00Z"/>
        <d v="2012-03-19T00:00:00Z"/>
        <d v="2011-05-24T00:00:00Z"/>
        <d v="2011-12-22T00:00:00Z"/>
        <d v="2011-10-23T00:00:00Z"/>
        <d v="2012-05-12T00:00:00Z"/>
        <d v="2011-09-11T00:00:00Z"/>
        <d v="2012-04-13T00:00:00Z"/>
        <d v="2011-06-18T00:00:00Z"/>
        <d v="2012-01-16T00:00:00Z"/>
        <d v="2011-11-17T00:00:00Z"/>
        <d v="2012-06-06T00:00:00Z"/>
        <d v="2011-10-06T00:00:00Z"/>
        <d v="2012-05-08T00:00:00Z"/>
        <d v="2012-02-10T00:00:00Z"/>
        <d v="2011-12-12T00:00:00Z"/>
        <d v="2012-07-01T00:00:00Z"/>
        <d v="2011-10-31T00:00:00Z"/>
        <d v="2012-06-02T00:00:00Z"/>
        <d v="2011-08-07T00:00:00Z"/>
        <d v="2012-03-06T00:00:00Z"/>
        <d v="2012-01-06T00:00:00Z"/>
        <d v="2012-07-26T00:00:00Z"/>
        <d v="2011-11-25T00:00:00Z"/>
        <d v="2012-06-27T00:00:00Z"/>
        <d v="2011-09-01T00:00:00Z"/>
        <d v="2012-03-31T00:00:00Z"/>
        <d v="2012-01-31T00:00:00Z"/>
        <d v="2012-08-20T00:00:00Z"/>
        <d v="2011-12-20T00:00:00Z"/>
        <d v="2012-07-22T00:00:00Z"/>
        <d v="2011-09-26T00:00:00Z"/>
        <d v="2012-04-25T00:00:00Z"/>
        <d v="2012-02-25T00:00:00Z"/>
        <d v="2012-09-14T00:00:00Z"/>
        <d v="2012-01-14T00:00:00Z"/>
        <d v="2012-08-16T00:00:00Z"/>
        <d v="2011-10-21T00:00:00Z"/>
        <d v="2012-05-20T00:00:00Z"/>
        <d v="2012-03-21T00:00:00Z"/>
        <d v="2012-10-09T00:00:00Z"/>
        <d v="2012-02-08T00:00:00Z"/>
        <d v="2012-09-10T00:00:00Z"/>
        <d v="2011-11-15T00:00:00Z"/>
        <d v="2012-06-14T00:00:00Z"/>
        <d v="2012-04-15T00:00:00Z"/>
        <d v="2012-11-03T00:00:00Z"/>
        <d v="2012-03-04T00:00:00Z"/>
        <d v="2012-10-05T00:00:00Z"/>
        <d v="2011-12-10T00:00:00Z"/>
        <d v="2012-07-09T00:00:00Z"/>
        <d v="2012-05-10T00:00:00Z"/>
        <d v="2012-11-28T00:00:00Z"/>
        <d v="2012-03-29T00:00:00Z"/>
        <d v="2012-10-30T00:00:00Z"/>
        <d v="2012-01-04T00:00:00Z"/>
        <d v="2012-08-03T00:00:00Z"/>
        <d v="2012-06-04T00:00:00Z"/>
        <d v="2012-12-23T00:00:00Z"/>
        <d v="2012-04-23T00:00:00Z"/>
        <d v="2012-11-24T00:00:00Z"/>
        <d v="2012-08-28T00:00:00Z"/>
        <d v="2012-06-29T00:00:00Z"/>
        <d v="2012-01-17T00:00:00Z"/>
        <d v="2012-05-18T00:00:00Z"/>
        <d v="2012-12-19T00:00:00Z"/>
        <d v="2012-09-22T00:00:00Z"/>
        <d v="2012-07-24T00:00:00Z"/>
        <d v="2008-02-13T00:00:00Z"/>
        <d v="2009-10-20T00:00:00Z"/>
        <d v="2011-04-24T00:00:00Z"/>
        <d v="2011-07-12T00:00:00Z"/>
        <d v="2011-06-13T00:00:00Z"/>
        <d v="2011-03-17T00:00:00Z"/>
        <d v="2011-01-16T00:00:00Z"/>
        <d v="2011-08-06T00:00:00Z"/>
        <d v="2011-07-08T00:00:00Z"/>
        <d v="2011-04-11T00:00:00Z"/>
        <d v="2011-02-10T00:00:00Z"/>
        <d v="2011-08-31T00:00:00Z"/>
        <d v="2011-08-02T00:00:00Z"/>
        <d v="2011-05-06T00:00:00Z"/>
        <d v="2011-03-07T00:00:00Z"/>
        <d v="2011-09-25T00:00:00Z"/>
        <d v="2011-01-24T00:00:00Z"/>
        <d v="2011-08-27T00:00:00Z"/>
        <d v="2011-05-31T00:00:00Z"/>
        <d v="2011-04-01T00:00:00Z"/>
        <d v="2011-02-18T00:00:00Z"/>
        <d v="2011-09-21T00:00:00Z"/>
        <d v="2011-06-25T00:00:00Z"/>
        <d v="2011-04-26T00:00:00Z"/>
        <d v="2011-11-14T00:00:00Z"/>
        <d v="2012-01-25T00:00:00Z"/>
        <d v="2012-11-26T00:00:00Z"/>
        <d v="2012-06-16T00:00:00Z"/>
        <d v="2012-10-15T00:00:00Z"/>
        <d v="2011-05-18T00:00:00Z"/>
        <d v="2012-02-19T00:00:00Z"/>
        <d v="2012-12-21T00:00:00Z"/>
        <d v="2011-07-11T00:00:00Z"/>
        <d v="2012-11-09T00:00:00Z"/>
        <d v="2011-06-12T00:00:00Z"/>
        <d v="2011-03-16T00:00:00Z"/>
        <d v="2011-01-15T00:00:00Z"/>
        <d v="2011-08-05T00:00:00Z"/>
        <d v="2012-12-04T00:00:00Z"/>
        <d v="2011-07-07T00:00:00Z"/>
        <d v="2012-12-29T00:00:00Z"/>
        <d v="2011-08-01T00:00:00Z"/>
        <d v="2011-10-20T00:00:00Z"/>
      </sharedItems>
    </cacheField>
    <cacheField name="Month" numFmtId="0">
      <sharedItems containsSemiMixedTypes="0" containsString="0" containsNumber="1" containsInteger="1">
        <n v="2.0"/>
        <n v="6.0"/>
        <n v="3.0"/>
        <n v="10.0"/>
        <n v="8.0"/>
        <n v="1.0"/>
        <n v="4.0"/>
        <n v="11.0"/>
        <n v="9.0"/>
        <n v="7.0"/>
        <n v="5.0"/>
        <n v="12.0"/>
      </sharedItems>
    </cacheField>
    <cacheField name="Year" numFmtId="0">
      <sharedItems containsSemiMixedTypes="0" containsString="0" containsNumber="1" containsInteger="1">
        <n v="2012.0"/>
        <n v="2011.0"/>
        <n v="2008.0"/>
        <n v="2009.0"/>
      </sharedItems>
    </cacheField>
    <cacheField name="Months" numFmtId="0">
      <sharedItems>
        <s v="February"/>
        <s v="June"/>
        <s v="March"/>
        <s v="October"/>
        <s v="August"/>
        <s v="January"/>
        <s v="April"/>
        <s v="November"/>
        <s v="September"/>
        <s v="July"/>
        <s v="May"/>
        <s v="Decembe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" cacheId="0" dataCaption="" compact="0" compactData="0">
  <location ref="A1:B32" firstHeaderRow="0" firstDataRow="1" firstDataCol="0"/>
  <pivotFields>
    <pivotField name="Manufactur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7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ni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tention Value" compact="0" outline="0" multipleItemSelectionAllowed="1" showAll="0">
      <items>
        <item x="0"/>
        <item x="1"/>
        <item t="default"/>
      </items>
    </pivotField>
    <pivotField name="Engin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</pivotFields>
  <rowFields>
    <field x="0"/>
  </rowFields>
  <dataFields>
    <dataField name="SUM of Unit Sales" fld="2" baseField="0"/>
  </dataFields>
</pivotTableDefinition>
</file>

<file path=xl/pivotTables/pivotTable2.xml><?xml version="1.0" encoding="utf-8"?>
<pivotTableDefinition xmlns="http://schemas.openxmlformats.org/spreadsheetml/2006/main" name="Pivot Table  2" cacheId="0" dataCaption="" compact="0" compactData="0">
  <location ref="D1:F32" firstHeaderRow="0" firstDataRow="2" firstDataCol="0"/>
  <pivotFields>
    <pivotField name="Manufactur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7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ni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tention Value" compact="0" outline="0" multipleItemSelectionAllowed="1" showAll="0">
      <items>
        <item x="0"/>
        <item x="1"/>
        <item t="default"/>
      </items>
    </pivotField>
    <pivotField name="Engin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</pivotFields>
  <rowFields>
    <field x="0"/>
  </rowFields>
  <colFields>
    <field x="-2"/>
  </colFields>
  <dataFields>
    <dataField name="SUM of Unit Sales" fld="2" baseField="0"/>
    <dataField name="SUM of Year Resale Value" fld="4" baseField="0"/>
  </dataFields>
</pivotTableDefinition>
</file>

<file path=xl/pivotTables/pivotTable3.xml><?xml version="1.0" encoding="utf-8"?>
<pivotTableDefinition xmlns="http://schemas.openxmlformats.org/spreadsheetml/2006/main" name="Pivot Table  3" cacheId="0" dataCaption="" compact="0" compactData="0">
  <location ref="H1:Q32" firstHeaderRow="0" firstDataRow="2" firstDataCol="0"/>
  <pivotFields>
    <pivotField name="Manufactur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7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ni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tention Value" compact="0" outline="0" multipleItemSelectionAllowed="1" showAll="0">
      <items>
        <item x="0"/>
        <item x="1"/>
        <item t="default"/>
      </items>
    </pivotField>
    <pivotField name="Engine Siz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</pivotFields>
  <rowFields>
    <field x="0"/>
  </rowFields>
  <colFields>
    <field x="-2"/>
  </colFields>
  <dataFields>
    <dataField name="SUM of Unit Sales" fld="2" baseField="0"/>
    <dataField name="SUM of Year Resale Value" fld="4" baseField="0"/>
    <dataField name="SUM of Retention %" fld="5" baseField="0"/>
    <dataField name="SUM of Engine Size" fld="7" baseField="0"/>
    <dataField name="SUM of Wheelbase" fld="13" baseField="0"/>
    <dataField name="SUM of Width" fld="14" baseField="0"/>
    <dataField name="SUM of Length" fld="15" baseField="0"/>
    <dataField name="SUM of Curb Weight" fld="16" baseField="0"/>
    <dataField name="SUM of Fuel Capacity" fld="17" baseField="0"/>
  </dataFields>
</pivotTableDefinition>
</file>

<file path=xl/pivotTables/pivotTable4.xml><?xml version="1.0" encoding="utf-8"?>
<pivotTableDefinition xmlns="http://schemas.openxmlformats.org/spreadsheetml/2006/main" name="Pivot Table  4" cacheId="1" dataCaption="" compact="0" compactData="0">
  <location ref="S1:AF33" firstHeaderRow="0" firstDataRow="1" firstDataCol="1"/>
  <pivotFields>
    <pivotField name="Manufactur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7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ni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tention Value" compact="0" outline="0" multipleItemSelectionAllowed="1" showAll="0">
      <items>
        <item x="0"/>
        <item x="1"/>
        <item t="default"/>
      </items>
    </pivotField>
    <pivotField name="Engin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onth" axis="axisCol" compact="0" outline="0" multipleItemSelectionAllowed="1" showAll="0" sortType="ascending">
      <items>
        <item x="5"/>
        <item x="0"/>
        <item x="2"/>
        <item x="6"/>
        <item x="10"/>
        <item x="1"/>
        <item x="9"/>
        <item x="4"/>
        <item x="8"/>
        <item x="3"/>
        <item x="7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19"/>
  </colFields>
  <dataFields>
    <dataField name="SUM of Unit Sales" fld="2" baseField="0"/>
  </dataFields>
</pivotTableDefinition>
</file>

<file path=xl/pivotTables/pivotTable5.xml><?xml version="1.0" encoding="utf-8"?>
<pivotTableDefinition xmlns="http://schemas.openxmlformats.org/spreadsheetml/2006/main" name="Pivot Table  5" cacheId="1" dataCaption="" compact="0" compactData="0">
  <location ref="AH1:AI6" firstHeaderRow="0" firstDataRow="1" firstDataCol="0"/>
  <pivotFields>
    <pivotField name="Manufactu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nit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tention Value" compact="0" outline="0" multipleItemSelectionAllowed="1" showAll="0">
      <items>
        <item x="0"/>
        <item x="1"/>
        <item t="default"/>
      </items>
    </pivotField>
    <pivotField name="Engin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Row" compact="0" outline="0" multipleItemSelectionAllowed="1" showAll="0" sortType="ascending">
      <items>
        <item x="2"/>
        <item x="3"/>
        <item x="1"/>
        <item x="0"/>
        <item t="default"/>
      </items>
    </pivotField>
  </pivotFields>
  <rowFields>
    <field x="20"/>
  </rowFields>
  <dataFields>
    <dataField name="COUNTA of Latest Launch" fld="18" subtotal="count" baseField="0"/>
  </dataFields>
</pivotTableDefinition>
</file>

<file path=xl/pivotTables/pivotTable6.xml><?xml version="1.0" encoding="utf-8"?>
<pivotTableDefinition xmlns="http://schemas.openxmlformats.org/spreadsheetml/2006/main" name="Pivot Table  6" cacheId="1" dataCaption="" compact="0" compactData="0">
  <location ref="AK1:AM32" firstHeaderRow="0" firstDataRow="2" firstDataCol="0"/>
  <pivotFields>
    <pivotField name="Manufactu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nit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tention Value" compact="0" outline="0" multipleItemSelectionAllowed="1" showAll="0">
      <items>
        <item x="0"/>
        <item x="1"/>
        <item t="default"/>
      </items>
    </pivotField>
    <pivotField name="Engin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onth" axis="axisRow" compact="0" outline="0" multipleItemSelectionAllowed="1" showAll="0" sortType="ascending">
      <items>
        <item x="5"/>
        <item x="0"/>
        <item x="2"/>
        <item x="6"/>
        <item x="10"/>
        <item x="1"/>
        <item x="9"/>
        <item x="4"/>
        <item x="8"/>
        <item x="3"/>
        <item x="7"/>
        <item x="11"/>
        <item t="default"/>
      </items>
    </pivotField>
    <pivotField name="Year" axis="axisRow" compact="0" outline="0" multipleItemSelectionAllowed="1" showAll="0" sortType="ascending">
      <items>
        <item x="2"/>
        <item x="3"/>
        <item x="1"/>
        <item x="0"/>
        <item t="default"/>
      </items>
    </pivotField>
  </pivotFields>
  <rowFields>
    <field x="20"/>
    <field x="19"/>
  </rowFields>
  <dataFields>
    <dataField name="COUNTA of Latest Launch" fld="18" subtotal="count" baseField="0"/>
  </dataFields>
</pivotTableDefinition>
</file>

<file path=xl/pivotTables/pivotTable7.xml><?xml version="1.0" encoding="utf-8"?>
<pivotTableDefinition xmlns="http://schemas.openxmlformats.org/spreadsheetml/2006/main" name="Pivot Table  7" cacheId="1" dataCaption="" compact="0" compactData="0">
  <location ref="AO1:AP6" firstHeaderRow="0" firstDataRow="1" firstDataCol="0"/>
  <pivotFields>
    <pivotField name="Manufactu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ni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tention Value" compact="0" outline="0" multipleItemSelectionAllowed="1" showAll="0">
      <items>
        <item x="0"/>
        <item x="1"/>
        <item t="default"/>
      </items>
    </pivotField>
    <pivotField name="Engin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Row" compact="0" outline="0" multipleItemSelectionAllowed="1" showAll="0" sortType="ascending">
      <items>
        <item x="2"/>
        <item x="3"/>
        <item x="1"/>
        <item x="0"/>
        <item t="default"/>
      </items>
    </pivotField>
  </pivotFields>
  <rowFields>
    <field x="20"/>
  </rowFields>
  <dataFields>
    <dataField name="SUM of Unit Sales" fld="2" baseField="0"/>
  </dataFields>
</pivotTableDefinition>
</file>

<file path=xl/pivotTables/pivotTable8.xml><?xml version="1.0" encoding="utf-8"?>
<pivotTableDefinition xmlns="http://schemas.openxmlformats.org/spreadsheetml/2006/main" name="Pivot Table  8" cacheId="2" dataCaption="" compact="0" compactData="0">
  <location ref="AR1:AS14" firstHeaderRow="0" firstDataRow="1" firstDataCol="0"/>
  <pivotFields>
    <pivotField name="Manufactu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ni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tention Value" compact="0" outline="0" multipleItemSelectionAllowed="1" showAll="0">
      <items>
        <item x="0"/>
        <item x="1"/>
        <item t="default"/>
      </items>
    </pivotField>
    <pivotField name="Engin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s" axis="axisRow" compact="0" outline="0" multipleItemSelectionAllowed="1" showAll="0" sortType="ascending">
      <items>
        <item x="6"/>
        <item x="4"/>
        <item x="11"/>
        <item x="0"/>
        <item x="5"/>
        <item x="9"/>
        <item x="1"/>
        <item x="2"/>
        <item x="10"/>
        <item x="7"/>
        <item x="3"/>
        <item x="8"/>
        <item t="default"/>
      </items>
    </pivotField>
  </pivotFields>
  <rowFields>
    <field x="21"/>
  </rowFields>
  <dataFields>
    <dataField name="SUM of Unit Sales" fld="2" baseField="0"/>
  </dataFields>
</pivotTableDefinition>
</file>

<file path=xl/pivotTables/pivotTable9.xml><?xml version="1.0" encoding="utf-8"?>
<pivotTableDefinition xmlns="http://schemas.openxmlformats.org/spreadsheetml/2006/main" name="Pivot Table  9" cacheId="2" dataCaption="" compact="0" compactData="0">
  <location ref="AU1:AV45" firstHeaderRow="0" firstDataRow="1" firstDataCol="0"/>
  <pivotFields>
    <pivotField name="Manufactu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ni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axis="axisRow" compact="0" numFmtId="9" outline="0" multipleItemSelectionAllowed="1" showAll="0" sortType="ascending">
      <items>
        <item x="10"/>
        <item x="34"/>
        <item x="21"/>
        <item x="26"/>
        <item x="33"/>
        <item x="9"/>
        <item x="16"/>
        <item x="11"/>
        <item x="8"/>
        <item x="18"/>
        <item x="14"/>
        <item x="29"/>
        <item x="12"/>
        <item x="17"/>
        <item x="5"/>
        <item x="27"/>
        <item x="13"/>
        <item x="20"/>
        <item x="30"/>
        <item x="15"/>
        <item x="4"/>
        <item x="1"/>
        <item x="2"/>
        <item x="24"/>
        <item x="23"/>
        <item x="36"/>
        <item x="28"/>
        <item x="0"/>
        <item x="19"/>
        <item x="31"/>
        <item x="41"/>
        <item x="25"/>
        <item x="35"/>
        <item x="37"/>
        <item x="22"/>
        <item x="32"/>
        <item x="7"/>
        <item x="42"/>
        <item x="39"/>
        <item x="6"/>
        <item x="40"/>
        <item x="3"/>
        <item x="38"/>
        <item t="default"/>
      </items>
    </pivotField>
    <pivotField name="Retention Value" compact="0" outline="0" multipleItemSelectionAllowed="1" showAll="0">
      <items>
        <item x="0"/>
        <item x="1"/>
        <item t="default"/>
      </items>
    </pivotField>
    <pivotField name="Engin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5"/>
  </rowFields>
  <dataFields>
    <dataField name="SUM of Unit Sales" fld="2" baseField="0"/>
  </dataFields>
</pivotTableDefinition>
</file>

<file path=xl/pivotTables/pivotTable10.xml><?xml version="1.0" encoding="utf-8"?>
<pivotTableDefinition xmlns="http://schemas.openxmlformats.org/spreadsheetml/2006/main" name="Pivot Table  10" cacheId="2" dataCaption="" compact="0" compactData="0">
  <location ref="AX1:AY32" firstHeaderRow="0" firstDataRow="1" firstDataCol="0"/>
  <pivotFields>
    <pivotField name="Manufactur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7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nit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Year Resale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Retention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tention Value" compact="0" outline="0" multipleItemSelectionAllowed="1" showAll="0">
      <items>
        <item x="0"/>
        <item x="1"/>
        <item t="default"/>
      </items>
    </pivotField>
    <pivotField name="Engin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sepow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P Level" compact="0" outline="0" multipleItemSelectionAllowed="1" showAll="0">
      <items>
        <item x="0"/>
        <item x="1"/>
        <item x="2"/>
        <item t="default"/>
      </items>
    </pivotField>
    <pivotField name="Vehicle_type" compact="0" outline="0" multipleItemSelectionAllowed="1" showAll="0">
      <items>
        <item x="0"/>
        <item x="1"/>
        <item t="default"/>
      </items>
    </pivotField>
    <pivotField name="Fuel Efficienc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wer Perf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Wheel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b 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Fuel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test Launc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dataFields>
    <dataField name="AVERAGE of Fuel Efficiency" fld="1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drawing" Target="../drawings/drawing2.xml"/><Relationship Id="rId10" Type="http://schemas.openxmlformats.org/officeDocument/2006/relationships/pivotTable" Target="../pivotTables/pivotTable10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5.75"/>
    <col customWidth="1" min="6" max="6" width="12.63"/>
    <col customWidth="1" min="22" max="22" width="15.13"/>
    <col customWidth="1" min="23" max="23" width="20.3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</row>
    <row r="2" ht="15.75" customHeight="1">
      <c r="A2" s="1" t="s">
        <v>23</v>
      </c>
      <c r="B2" s="5" t="s">
        <v>24</v>
      </c>
      <c r="C2" s="6">
        <v>16919.0</v>
      </c>
      <c r="D2" s="7">
        <v>21500.0</v>
      </c>
      <c r="E2" s="7">
        <v>16360.0</v>
      </c>
      <c r="F2" s="8">
        <v>0.76</v>
      </c>
      <c r="G2" s="1" t="s">
        <v>25</v>
      </c>
      <c r="H2" s="6">
        <v>1.8</v>
      </c>
      <c r="I2" s="6">
        <v>140.0</v>
      </c>
      <c r="J2" s="9" t="s">
        <v>26</v>
      </c>
      <c r="K2" s="9" t="s">
        <v>27</v>
      </c>
      <c r="L2" s="6">
        <v>28.0</v>
      </c>
      <c r="M2" s="6">
        <v>58.28014952</v>
      </c>
      <c r="N2" s="6">
        <v>101.2</v>
      </c>
      <c r="O2" s="6">
        <v>67.3</v>
      </c>
      <c r="P2" s="6">
        <v>172.4</v>
      </c>
      <c r="Q2" s="6">
        <v>2.639</v>
      </c>
      <c r="R2" s="6">
        <v>13.2</v>
      </c>
      <c r="S2" s="10">
        <v>40941.0</v>
      </c>
      <c r="T2" s="11">
        <f t="shared" ref="T2:T156" si="1">MONTH(S2)</f>
        <v>2</v>
      </c>
      <c r="U2" s="11">
        <f t="shared" ref="U2:U156" si="2">YEAR(S2)</f>
        <v>2012</v>
      </c>
      <c r="V2" s="12" t="str">
        <f t="shared" ref="V2:V156" si="3">TEXT(S2,"MMMM")</f>
        <v>February</v>
      </c>
      <c r="W2" s="13">
        <f t="shared" ref="W2:W156" si="4">C2*D2</f>
        <v>363758500</v>
      </c>
    </row>
    <row r="3" ht="15.75" customHeight="1">
      <c r="A3" s="1" t="s">
        <v>23</v>
      </c>
      <c r="B3" s="5" t="s">
        <v>28</v>
      </c>
      <c r="C3" s="6">
        <v>39384.0</v>
      </c>
      <c r="D3" s="7">
        <v>28400.0</v>
      </c>
      <c r="E3" s="7">
        <v>19875.0</v>
      </c>
      <c r="F3" s="8">
        <v>0.7</v>
      </c>
      <c r="G3" s="1" t="s">
        <v>25</v>
      </c>
      <c r="H3" s="6">
        <v>3.2</v>
      </c>
      <c r="I3" s="6">
        <v>225.0</v>
      </c>
      <c r="J3" s="9" t="s">
        <v>26</v>
      </c>
      <c r="K3" s="9" t="s">
        <v>27</v>
      </c>
      <c r="L3" s="6">
        <v>25.0</v>
      </c>
      <c r="M3" s="6">
        <v>91.37077766</v>
      </c>
      <c r="N3" s="6">
        <v>108.1</v>
      </c>
      <c r="O3" s="6">
        <v>70.3</v>
      </c>
      <c r="P3" s="6">
        <v>192.9</v>
      </c>
      <c r="Q3" s="6">
        <v>3.517</v>
      </c>
      <c r="R3" s="6">
        <v>17.2</v>
      </c>
      <c r="S3" s="10">
        <v>40697.0</v>
      </c>
      <c r="T3" s="11">
        <f t="shared" si="1"/>
        <v>6</v>
      </c>
      <c r="U3" s="11">
        <f t="shared" si="2"/>
        <v>2011</v>
      </c>
      <c r="V3" s="12" t="str">
        <f t="shared" si="3"/>
        <v>June</v>
      </c>
      <c r="W3" s="13">
        <f t="shared" si="4"/>
        <v>1118505600</v>
      </c>
    </row>
    <row r="4" ht="15.75" customHeight="1">
      <c r="A4" s="1" t="s">
        <v>23</v>
      </c>
      <c r="B4" s="5" t="s">
        <v>29</v>
      </c>
      <c r="C4" s="6">
        <v>8588.0</v>
      </c>
      <c r="D4" s="7">
        <v>42000.0</v>
      </c>
      <c r="E4" s="7">
        <v>29725.0</v>
      </c>
      <c r="F4" s="8">
        <v>0.71</v>
      </c>
      <c r="G4" s="1" t="s">
        <v>25</v>
      </c>
      <c r="H4" s="6">
        <v>3.5</v>
      </c>
      <c r="I4" s="6">
        <v>210.0</v>
      </c>
      <c r="J4" s="9" t="s">
        <v>26</v>
      </c>
      <c r="K4" s="9" t="s">
        <v>27</v>
      </c>
      <c r="L4" s="6">
        <v>22.0</v>
      </c>
      <c r="M4" s="6">
        <v>91.38977933</v>
      </c>
      <c r="N4" s="6">
        <v>114.6</v>
      </c>
      <c r="O4" s="6">
        <v>71.4</v>
      </c>
      <c r="P4" s="6">
        <v>196.6</v>
      </c>
      <c r="Q4" s="6">
        <v>3.85</v>
      </c>
      <c r="R4" s="6">
        <v>18.0</v>
      </c>
      <c r="S4" s="10">
        <v>40612.0</v>
      </c>
      <c r="T4" s="11">
        <f t="shared" si="1"/>
        <v>3</v>
      </c>
      <c r="U4" s="11">
        <f t="shared" si="2"/>
        <v>2011</v>
      </c>
      <c r="V4" s="12" t="str">
        <f t="shared" si="3"/>
        <v>March</v>
      </c>
      <c r="W4" s="13">
        <f t="shared" si="4"/>
        <v>360696000</v>
      </c>
    </row>
    <row r="5" ht="15.75" customHeight="1">
      <c r="A5" s="1" t="s">
        <v>30</v>
      </c>
      <c r="B5" s="5" t="s">
        <v>31</v>
      </c>
      <c r="C5" s="6">
        <v>20397.0</v>
      </c>
      <c r="D5" s="7">
        <v>23990.0</v>
      </c>
      <c r="E5" s="7">
        <v>22255.0</v>
      </c>
      <c r="F5" s="8">
        <v>0.93</v>
      </c>
      <c r="G5" s="1" t="s">
        <v>25</v>
      </c>
      <c r="H5" s="6">
        <v>1.8</v>
      </c>
      <c r="I5" s="6">
        <v>150.0</v>
      </c>
      <c r="J5" s="9" t="s">
        <v>26</v>
      </c>
      <c r="K5" s="9" t="s">
        <v>27</v>
      </c>
      <c r="L5" s="6">
        <v>27.0</v>
      </c>
      <c r="M5" s="6">
        <v>62.7776392</v>
      </c>
      <c r="N5" s="6">
        <v>102.6</v>
      </c>
      <c r="O5" s="6">
        <v>68.2</v>
      </c>
      <c r="P5" s="6">
        <v>178.0</v>
      </c>
      <c r="Q5" s="6">
        <v>2.998</v>
      </c>
      <c r="R5" s="6">
        <v>16.4</v>
      </c>
      <c r="S5" s="10">
        <v>40824.0</v>
      </c>
      <c r="T5" s="11">
        <f t="shared" si="1"/>
        <v>10</v>
      </c>
      <c r="U5" s="11">
        <f t="shared" si="2"/>
        <v>2011</v>
      </c>
      <c r="V5" s="12" t="str">
        <f t="shared" si="3"/>
        <v>October</v>
      </c>
      <c r="W5" s="13">
        <f t="shared" si="4"/>
        <v>489324030</v>
      </c>
    </row>
    <row r="6" ht="15.75" customHeight="1">
      <c r="A6" s="1" t="s">
        <v>30</v>
      </c>
      <c r="B6" s="5" t="s">
        <v>32</v>
      </c>
      <c r="C6" s="6">
        <v>18780.0</v>
      </c>
      <c r="D6" s="7">
        <v>33950.0</v>
      </c>
      <c r="E6" s="7">
        <v>23555.0</v>
      </c>
      <c r="F6" s="8">
        <v>0.69</v>
      </c>
      <c r="G6" s="1" t="s">
        <v>25</v>
      </c>
      <c r="H6" s="6">
        <v>2.8</v>
      </c>
      <c r="I6" s="6">
        <v>200.0</v>
      </c>
      <c r="J6" s="9" t="s">
        <v>26</v>
      </c>
      <c r="K6" s="9" t="s">
        <v>27</v>
      </c>
      <c r="L6" s="6">
        <v>22.0</v>
      </c>
      <c r="M6" s="6">
        <v>84.56510502</v>
      </c>
      <c r="N6" s="6">
        <v>108.7</v>
      </c>
      <c r="O6" s="6">
        <v>76.1</v>
      </c>
      <c r="P6" s="6">
        <v>192.0</v>
      </c>
      <c r="Q6" s="6">
        <v>3.561</v>
      </c>
      <c r="R6" s="6">
        <v>18.5</v>
      </c>
      <c r="S6" s="10">
        <v>40764.0</v>
      </c>
      <c r="T6" s="11">
        <f t="shared" si="1"/>
        <v>8</v>
      </c>
      <c r="U6" s="11">
        <f t="shared" si="2"/>
        <v>2011</v>
      </c>
      <c r="V6" s="12" t="str">
        <f t="shared" si="3"/>
        <v>August</v>
      </c>
      <c r="W6" s="13">
        <f t="shared" si="4"/>
        <v>637581000</v>
      </c>
    </row>
    <row r="7" ht="15.75" customHeight="1">
      <c r="A7" s="1" t="s">
        <v>30</v>
      </c>
      <c r="B7" s="5" t="s">
        <v>33</v>
      </c>
      <c r="C7" s="6">
        <v>1380.0</v>
      </c>
      <c r="D7" s="7">
        <v>62000.0</v>
      </c>
      <c r="E7" s="7">
        <v>39000.0</v>
      </c>
      <c r="F7" s="8">
        <v>0.63</v>
      </c>
      <c r="G7" s="1" t="s">
        <v>34</v>
      </c>
      <c r="H7" s="6">
        <v>4.2</v>
      </c>
      <c r="I7" s="6">
        <v>310.0</v>
      </c>
      <c r="J7" s="9" t="s">
        <v>35</v>
      </c>
      <c r="K7" s="9" t="s">
        <v>27</v>
      </c>
      <c r="L7" s="6">
        <v>21.0</v>
      </c>
      <c r="M7" s="6">
        <v>134.6568582</v>
      </c>
      <c r="N7" s="6">
        <v>113.0</v>
      </c>
      <c r="O7" s="6">
        <v>74.0</v>
      </c>
      <c r="P7" s="6">
        <v>198.2</v>
      </c>
      <c r="Q7" s="6">
        <v>3.902</v>
      </c>
      <c r="R7" s="6">
        <v>23.7</v>
      </c>
      <c r="S7" s="14">
        <v>40966.0</v>
      </c>
      <c r="T7" s="11">
        <f t="shared" si="1"/>
        <v>2</v>
      </c>
      <c r="U7" s="11">
        <f t="shared" si="2"/>
        <v>2012</v>
      </c>
      <c r="V7" s="12" t="str">
        <f t="shared" si="3"/>
        <v>February</v>
      </c>
      <c r="W7" s="13">
        <f t="shared" si="4"/>
        <v>85560000</v>
      </c>
    </row>
    <row r="8" ht="15.75" customHeight="1">
      <c r="A8" s="1" t="s">
        <v>36</v>
      </c>
      <c r="B8" s="5" t="s">
        <v>37</v>
      </c>
      <c r="C8" s="6">
        <v>19747.0</v>
      </c>
      <c r="D8" s="7">
        <v>26990.0</v>
      </c>
      <c r="E8" s="7">
        <v>24500.0</v>
      </c>
      <c r="F8" s="8">
        <v>0.91</v>
      </c>
      <c r="G8" s="1" t="s">
        <v>25</v>
      </c>
      <c r="H8" s="6">
        <v>2.5</v>
      </c>
      <c r="I8" s="6">
        <v>170.0</v>
      </c>
      <c r="J8" s="9" t="s">
        <v>26</v>
      </c>
      <c r="K8" s="9" t="s">
        <v>27</v>
      </c>
      <c r="L8" s="6">
        <v>26.0</v>
      </c>
      <c r="M8" s="6">
        <v>71.19120671</v>
      </c>
      <c r="N8" s="6">
        <v>107.3</v>
      </c>
      <c r="O8" s="6">
        <v>68.4</v>
      </c>
      <c r="P8" s="6">
        <v>176.0</v>
      </c>
      <c r="Q8" s="6">
        <v>3.179</v>
      </c>
      <c r="R8" s="6">
        <v>16.6</v>
      </c>
      <c r="S8" s="14">
        <v>40722.0</v>
      </c>
      <c r="T8" s="11">
        <f t="shared" si="1"/>
        <v>6</v>
      </c>
      <c r="U8" s="11">
        <f t="shared" si="2"/>
        <v>2011</v>
      </c>
      <c r="V8" s="12" t="str">
        <f t="shared" si="3"/>
        <v>June</v>
      </c>
      <c r="W8" s="13">
        <f t="shared" si="4"/>
        <v>532971530</v>
      </c>
    </row>
    <row r="9" ht="15.75" customHeight="1">
      <c r="A9" s="1" t="s">
        <v>36</v>
      </c>
      <c r="B9" s="5" t="s">
        <v>38</v>
      </c>
      <c r="C9" s="6">
        <v>9231.0</v>
      </c>
      <c r="D9" s="7">
        <v>33400.0</v>
      </c>
      <c r="E9" s="7">
        <v>28675.0</v>
      </c>
      <c r="F9" s="8">
        <v>0.86</v>
      </c>
      <c r="G9" s="1" t="s">
        <v>25</v>
      </c>
      <c r="H9" s="6">
        <v>2.8</v>
      </c>
      <c r="I9" s="6">
        <v>193.0</v>
      </c>
      <c r="J9" s="9" t="s">
        <v>26</v>
      </c>
      <c r="K9" s="9" t="s">
        <v>27</v>
      </c>
      <c r="L9" s="6">
        <v>24.0</v>
      </c>
      <c r="M9" s="6">
        <v>81.87706856</v>
      </c>
      <c r="N9" s="6">
        <v>107.3</v>
      </c>
      <c r="O9" s="6">
        <v>68.5</v>
      </c>
      <c r="P9" s="6">
        <v>176.0</v>
      </c>
      <c r="Q9" s="6">
        <v>3.197</v>
      </c>
      <c r="R9" s="6">
        <v>16.6</v>
      </c>
      <c r="S9" s="15">
        <v>40937.0</v>
      </c>
      <c r="T9" s="11">
        <f t="shared" si="1"/>
        <v>1</v>
      </c>
      <c r="U9" s="11">
        <f t="shared" si="2"/>
        <v>2012</v>
      </c>
      <c r="V9" s="12" t="str">
        <f t="shared" si="3"/>
        <v>January</v>
      </c>
      <c r="W9" s="13">
        <f t="shared" si="4"/>
        <v>308315400</v>
      </c>
    </row>
    <row r="10" ht="15.75" customHeight="1">
      <c r="A10" s="1" t="s">
        <v>36</v>
      </c>
      <c r="B10" s="5" t="s">
        <v>39</v>
      </c>
      <c r="C10" s="6">
        <v>17527.0</v>
      </c>
      <c r="D10" s="7">
        <v>38900.0</v>
      </c>
      <c r="E10" s="7">
        <v>36125.0</v>
      </c>
      <c r="F10" s="8">
        <v>0.93</v>
      </c>
      <c r="G10" s="1" t="s">
        <v>25</v>
      </c>
      <c r="H10" s="6">
        <v>2.8</v>
      </c>
      <c r="I10" s="6">
        <v>193.0</v>
      </c>
      <c r="J10" s="9" t="s">
        <v>26</v>
      </c>
      <c r="K10" s="9" t="s">
        <v>27</v>
      </c>
      <c r="L10" s="6">
        <v>25.0</v>
      </c>
      <c r="M10" s="6">
        <v>83.9987238</v>
      </c>
      <c r="N10" s="6">
        <v>111.4</v>
      </c>
      <c r="O10" s="6">
        <v>70.9</v>
      </c>
      <c r="P10" s="6">
        <v>188.0</v>
      </c>
      <c r="Q10" s="6">
        <v>3.472</v>
      </c>
      <c r="R10" s="6">
        <v>18.5</v>
      </c>
      <c r="S10" s="10">
        <v>40637.0</v>
      </c>
      <c r="T10" s="11">
        <f t="shared" si="1"/>
        <v>4</v>
      </c>
      <c r="U10" s="11">
        <f t="shared" si="2"/>
        <v>2011</v>
      </c>
      <c r="V10" s="12" t="str">
        <f t="shared" si="3"/>
        <v>April</v>
      </c>
      <c r="W10" s="13">
        <f t="shared" si="4"/>
        <v>681800300</v>
      </c>
    </row>
    <row r="11" ht="15.75" customHeight="1">
      <c r="A11" s="1" t="s">
        <v>40</v>
      </c>
      <c r="B11" s="5" t="s">
        <v>41</v>
      </c>
      <c r="C11" s="6">
        <v>91561.0</v>
      </c>
      <c r="D11" s="7">
        <v>21975.0</v>
      </c>
      <c r="E11" s="7">
        <v>12475.0</v>
      </c>
      <c r="F11" s="8">
        <v>0.57</v>
      </c>
      <c r="G11" s="1" t="s">
        <v>34</v>
      </c>
      <c r="H11" s="6">
        <v>3.1</v>
      </c>
      <c r="I11" s="6">
        <v>175.0</v>
      </c>
      <c r="J11" s="9" t="s">
        <v>26</v>
      </c>
      <c r="K11" s="9" t="s">
        <v>27</v>
      </c>
      <c r="L11" s="6">
        <v>25.0</v>
      </c>
      <c r="M11" s="6">
        <v>71.18145132</v>
      </c>
      <c r="N11" s="6">
        <v>109.0</v>
      </c>
      <c r="O11" s="6">
        <v>72.7</v>
      </c>
      <c r="P11" s="6">
        <v>194.6</v>
      </c>
      <c r="Q11" s="6">
        <v>3.368</v>
      </c>
      <c r="R11" s="6">
        <v>17.5</v>
      </c>
      <c r="S11" s="10">
        <v>40849.0</v>
      </c>
      <c r="T11" s="11">
        <f t="shared" si="1"/>
        <v>11</v>
      </c>
      <c r="U11" s="11">
        <f t="shared" si="2"/>
        <v>2011</v>
      </c>
      <c r="V11" s="12" t="str">
        <f t="shared" si="3"/>
        <v>November</v>
      </c>
      <c r="W11" s="13">
        <f t="shared" si="4"/>
        <v>2012052975</v>
      </c>
    </row>
    <row r="12" ht="15.75" customHeight="1">
      <c r="A12" s="1" t="s">
        <v>40</v>
      </c>
      <c r="B12" s="5" t="s">
        <v>42</v>
      </c>
      <c r="C12" s="6">
        <v>39350.0</v>
      </c>
      <c r="D12" s="7">
        <v>25300.0</v>
      </c>
      <c r="E12" s="7">
        <v>13740.0</v>
      </c>
      <c r="F12" s="8">
        <v>0.54</v>
      </c>
      <c r="G12" s="1" t="s">
        <v>34</v>
      </c>
      <c r="H12" s="6">
        <v>3.8</v>
      </c>
      <c r="I12" s="6">
        <v>240.0</v>
      </c>
      <c r="J12" s="9" t="s">
        <v>26</v>
      </c>
      <c r="K12" s="9" t="s">
        <v>27</v>
      </c>
      <c r="L12" s="6">
        <v>23.0</v>
      </c>
      <c r="M12" s="6">
        <v>95.63670253</v>
      </c>
      <c r="N12" s="6">
        <v>109.0</v>
      </c>
      <c r="O12" s="6">
        <v>72.7</v>
      </c>
      <c r="P12" s="6">
        <v>196.2</v>
      </c>
      <c r="Q12" s="6">
        <v>3.543</v>
      </c>
      <c r="R12" s="6">
        <v>17.5</v>
      </c>
      <c r="S12" s="10">
        <v>40789.0</v>
      </c>
      <c r="T12" s="11">
        <f t="shared" si="1"/>
        <v>9</v>
      </c>
      <c r="U12" s="11">
        <f t="shared" si="2"/>
        <v>2011</v>
      </c>
      <c r="V12" s="12" t="str">
        <f t="shared" si="3"/>
        <v>September</v>
      </c>
      <c r="W12" s="13">
        <f t="shared" si="4"/>
        <v>995555000</v>
      </c>
    </row>
    <row r="13" ht="15.75" customHeight="1">
      <c r="A13" s="1" t="s">
        <v>40</v>
      </c>
      <c r="B13" s="5" t="s">
        <v>43</v>
      </c>
      <c r="C13" s="6">
        <v>27851.0</v>
      </c>
      <c r="D13" s="7">
        <v>31965.0</v>
      </c>
      <c r="E13" s="7">
        <v>20190.0</v>
      </c>
      <c r="F13" s="8">
        <v>0.63</v>
      </c>
      <c r="G13" s="1" t="s">
        <v>34</v>
      </c>
      <c r="H13" s="6">
        <v>3.8</v>
      </c>
      <c r="I13" s="6">
        <v>205.0</v>
      </c>
      <c r="J13" s="9" t="s">
        <v>26</v>
      </c>
      <c r="K13" s="9" t="s">
        <v>27</v>
      </c>
      <c r="L13" s="6">
        <v>24.0</v>
      </c>
      <c r="M13" s="6">
        <v>85.82840825</v>
      </c>
      <c r="N13" s="6">
        <v>113.8</v>
      </c>
      <c r="O13" s="6">
        <v>74.7</v>
      </c>
      <c r="P13" s="6">
        <v>206.8</v>
      </c>
      <c r="Q13" s="6">
        <v>3.778</v>
      </c>
      <c r="R13" s="6">
        <v>18.5</v>
      </c>
      <c r="S13" s="14">
        <v>40991.0</v>
      </c>
      <c r="T13" s="11">
        <f t="shared" si="1"/>
        <v>3</v>
      </c>
      <c r="U13" s="11">
        <f t="shared" si="2"/>
        <v>2012</v>
      </c>
      <c r="V13" s="12" t="str">
        <f t="shared" si="3"/>
        <v>March</v>
      </c>
      <c r="W13" s="13">
        <f t="shared" si="4"/>
        <v>890257215</v>
      </c>
    </row>
    <row r="14" ht="15.75" customHeight="1">
      <c r="A14" s="1" t="s">
        <v>40</v>
      </c>
      <c r="B14" s="5" t="s">
        <v>44</v>
      </c>
      <c r="C14" s="6">
        <v>83257.0</v>
      </c>
      <c r="D14" s="7">
        <v>27885.0</v>
      </c>
      <c r="E14" s="7">
        <v>13360.0</v>
      </c>
      <c r="F14" s="8">
        <v>0.48</v>
      </c>
      <c r="G14" s="1" t="s">
        <v>34</v>
      </c>
      <c r="H14" s="6">
        <v>3.8</v>
      </c>
      <c r="I14" s="6">
        <v>205.0</v>
      </c>
      <c r="J14" s="9" t="s">
        <v>26</v>
      </c>
      <c r="K14" s="9" t="s">
        <v>27</v>
      </c>
      <c r="L14" s="6">
        <v>25.0</v>
      </c>
      <c r="M14" s="6">
        <v>84.25452581</v>
      </c>
      <c r="N14" s="6">
        <v>112.2</v>
      </c>
      <c r="O14" s="6">
        <v>73.5</v>
      </c>
      <c r="P14" s="6">
        <v>200.0</v>
      </c>
      <c r="Q14" s="6">
        <v>3.591</v>
      </c>
      <c r="R14" s="6">
        <v>17.5</v>
      </c>
      <c r="S14" s="16">
        <v>40747.0</v>
      </c>
      <c r="T14" s="11">
        <f t="shared" si="1"/>
        <v>7</v>
      </c>
      <c r="U14" s="11">
        <f t="shared" si="2"/>
        <v>2011</v>
      </c>
      <c r="V14" s="12" t="str">
        <f t="shared" si="3"/>
        <v>July</v>
      </c>
      <c r="W14" s="13">
        <f t="shared" si="4"/>
        <v>2321621445</v>
      </c>
    </row>
    <row r="15" ht="15.75" customHeight="1">
      <c r="A15" s="1" t="s">
        <v>45</v>
      </c>
      <c r="B15" s="5" t="s">
        <v>46</v>
      </c>
      <c r="C15" s="6">
        <v>63729.0</v>
      </c>
      <c r="D15" s="7">
        <v>39895.0</v>
      </c>
      <c r="E15" s="7">
        <v>22525.0</v>
      </c>
      <c r="F15" s="8">
        <v>0.56</v>
      </c>
      <c r="G15" s="1" t="s">
        <v>34</v>
      </c>
      <c r="H15" s="6">
        <v>4.6</v>
      </c>
      <c r="I15" s="6">
        <v>275.0</v>
      </c>
      <c r="J15" s="9" t="s">
        <v>26</v>
      </c>
      <c r="K15" s="9" t="s">
        <v>27</v>
      </c>
      <c r="L15" s="6">
        <v>22.0</v>
      </c>
      <c r="M15" s="6">
        <v>113.8545976</v>
      </c>
      <c r="N15" s="6">
        <v>115.3</v>
      </c>
      <c r="O15" s="6">
        <v>74.5</v>
      </c>
      <c r="P15" s="6">
        <v>207.2</v>
      </c>
      <c r="Q15" s="6">
        <v>3.978</v>
      </c>
      <c r="R15" s="6">
        <v>18.5</v>
      </c>
      <c r="S15" s="17">
        <v>40962.0</v>
      </c>
      <c r="T15" s="11">
        <f t="shared" si="1"/>
        <v>2</v>
      </c>
      <c r="U15" s="11">
        <f t="shared" si="2"/>
        <v>2012</v>
      </c>
      <c r="V15" s="12" t="str">
        <f t="shared" si="3"/>
        <v>February</v>
      </c>
      <c r="W15" s="13">
        <f t="shared" si="4"/>
        <v>2542468455</v>
      </c>
    </row>
    <row r="16" ht="15.75" customHeight="1">
      <c r="A16" s="1" t="s">
        <v>45</v>
      </c>
      <c r="B16" s="5" t="s">
        <v>47</v>
      </c>
      <c r="C16" s="6">
        <v>15943.0</v>
      </c>
      <c r="D16" s="7">
        <v>44475.0</v>
      </c>
      <c r="E16" s="7">
        <v>27100.0</v>
      </c>
      <c r="F16" s="8">
        <v>0.61</v>
      </c>
      <c r="G16" s="1" t="s">
        <v>34</v>
      </c>
      <c r="H16" s="6">
        <v>4.6</v>
      </c>
      <c r="I16" s="6">
        <v>275.0</v>
      </c>
      <c r="J16" s="9" t="s">
        <v>26</v>
      </c>
      <c r="K16" s="9" t="s">
        <v>27</v>
      </c>
      <c r="L16" s="6">
        <v>22.0</v>
      </c>
      <c r="M16" s="6">
        <v>115.6213578</v>
      </c>
      <c r="N16" s="6">
        <v>112.2</v>
      </c>
      <c r="O16" s="6">
        <v>75.0</v>
      </c>
      <c r="P16" s="6">
        <v>201.0</v>
      </c>
      <c r="Q16" s="6">
        <v>3.875</v>
      </c>
      <c r="R16" s="6">
        <v>18.5</v>
      </c>
      <c r="S16" s="17">
        <v>40662.0</v>
      </c>
      <c r="T16" s="11">
        <f t="shared" si="1"/>
        <v>4</v>
      </c>
      <c r="U16" s="11">
        <f t="shared" si="2"/>
        <v>2011</v>
      </c>
      <c r="V16" s="12" t="str">
        <f t="shared" si="3"/>
        <v>April</v>
      </c>
      <c r="W16" s="13">
        <f t="shared" si="4"/>
        <v>709064925</v>
      </c>
    </row>
    <row r="17" ht="15.75" customHeight="1">
      <c r="A17" s="1" t="s">
        <v>45</v>
      </c>
      <c r="B17" s="5" t="s">
        <v>48</v>
      </c>
      <c r="C17" s="6">
        <v>6536.0</v>
      </c>
      <c r="D17" s="7">
        <v>39665.0</v>
      </c>
      <c r="E17" s="7">
        <v>25725.0</v>
      </c>
      <c r="F17" s="8">
        <v>0.65</v>
      </c>
      <c r="G17" s="1" t="s">
        <v>34</v>
      </c>
      <c r="H17" s="6">
        <v>4.6</v>
      </c>
      <c r="I17" s="6">
        <v>275.0</v>
      </c>
      <c r="J17" s="9" t="s">
        <v>26</v>
      </c>
      <c r="K17" s="9" t="s">
        <v>27</v>
      </c>
      <c r="L17" s="6">
        <v>22.0</v>
      </c>
      <c r="M17" s="6">
        <v>113.7658739</v>
      </c>
      <c r="N17" s="6">
        <v>108.0</v>
      </c>
      <c r="O17" s="6">
        <v>75.5</v>
      </c>
      <c r="P17" s="6">
        <v>200.6</v>
      </c>
      <c r="Q17" s="6">
        <v>3.843</v>
      </c>
      <c r="R17" s="6">
        <v>19.0</v>
      </c>
      <c r="S17" s="15">
        <v>40874.0</v>
      </c>
      <c r="T17" s="11">
        <f t="shared" si="1"/>
        <v>11</v>
      </c>
      <c r="U17" s="11">
        <f t="shared" si="2"/>
        <v>2011</v>
      </c>
      <c r="V17" s="12" t="str">
        <f t="shared" si="3"/>
        <v>November</v>
      </c>
      <c r="W17" s="13">
        <f t="shared" si="4"/>
        <v>259250440</v>
      </c>
    </row>
    <row r="18" ht="15.75" customHeight="1">
      <c r="A18" s="1" t="s">
        <v>45</v>
      </c>
      <c r="B18" s="5" t="s">
        <v>49</v>
      </c>
      <c r="C18" s="6">
        <v>11185.0</v>
      </c>
      <c r="D18" s="7">
        <v>31010.0</v>
      </c>
      <c r="E18" s="7">
        <v>18225.0</v>
      </c>
      <c r="F18" s="8">
        <v>0.59</v>
      </c>
      <c r="G18" s="1" t="s">
        <v>34</v>
      </c>
      <c r="H18" s="6">
        <v>3.0</v>
      </c>
      <c r="I18" s="6">
        <v>200.0</v>
      </c>
      <c r="J18" s="9" t="s">
        <v>26</v>
      </c>
      <c r="K18" s="9" t="s">
        <v>27</v>
      </c>
      <c r="L18" s="6">
        <v>22.0</v>
      </c>
      <c r="M18" s="6">
        <v>83.48309358</v>
      </c>
      <c r="N18" s="6">
        <v>107.4</v>
      </c>
      <c r="O18" s="6">
        <v>70.3</v>
      </c>
      <c r="P18" s="6">
        <v>194.8</v>
      </c>
      <c r="Q18" s="6">
        <v>3.77</v>
      </c>
      <c r="R18" s="6">
        <v>18.0</v>
      </c>
      <c r="S18" s="14">
        <v>40814.0</v>
      </c>
      <c r="T18" s="11">
        <f t="shared" si="1"/>
        <v>9</v>
      </c>
      <c r="U18" s="11">
        <f t="shared" si="2"/>
        <v>2011</v>
      </c>
      <c r="V18" s="12" t="str">
        <f t="shared" si="3"/>
        <v>September</v>
      </c>
      <c r="W18" s="13">
        <f t="shared" si="4"/>
        <v>346846850</v>
      </c>
    </row>
    <row r="19" ht="15.75" customHeight="1">
      <c r="A19" s="1" t="s">
        <v>45</v>
      </c>
      <c r="B19" s="5" t="s">
        <v>50</v>
      </c>
      <c r="C19" s="6">
        <v>14785.0</v>
      </c>
      <c r="D19" s="7">
        <v>46225.0</v>
      </c>
      <c r="E19" s="7">
        <v>31245.0</v>
      </c>
      <c r="F19" s="8">
        <v>0.68</v>
      </c>
      <c r="G19" s="1" t="s">
        <v>34</v>
      </c>
      <c r="H19" s="6">
        <v>5.7</v>
      </c>
      <c r="I19" s="6">
        <v>255.0</v>
      </c>
      <c r="J19" s="9" t="s">
        <v>26</v>
      </c>
      <c r="K19" s="9" t="s">
        <v>51</v>
      </c>
      <c r="L19" s="6">
        <v>15.0</v>
      </c>
      <c r="M19" s="6">
        <v>109.5091165</v>
      </c>
      <c r="N19" s="6">
        <v>117.5</v>
      </c>
      <c r="O19" s="6">
        <v>77.0</v>
      </c>
      <c r="P19" s="6">
        <v>201.2</v>
      </c>
      <c r="Q19" s="6">
        <v>5.572</v>
      </c>
      <c r="R19" s="6">
        <v>30.0</v>
      </c>
      <c r="S19" s="14">
        <v>41016.0</v>
      </c>
      <c r="T19" s="11">
        <f t="shared" si="1"/>
        <v>4</v>
      </c>
      <c r="U19" s="11">
        <f t="shared" si="2"/>
        <v>2012</v>
      </c>
      <c r="V19" s="12" t="str">
        <f t="shared" si="3"/>
        <v>April</v>
      </c>
      <c r="W19" s="13">
        <f t="shared" si="4"/>
        <v>683436625</v>
      </c>
    </row>
    <row r="20" ht="15.75" customHeight="1">
      <c r="A20" s="1" t="s">
        <v>52</v>
      </c>
      <c r="B20" s="5" t="s">
        <v>53</v>
      </c>
      <c r="C20" s="6">
        <v>145519.0</v>
      </c>
      <c r="D20" s="7">
        <v>13260.0</v>
      </c>
      <c r="E20" s="7">
        <v>9250.0</v>
      </c>
      <c r="F20" s="8">
        <v>0.7</v>
      </c>
      <c r="G20" s="1" t="s">
        <v>25</v>
      </c>
      <c r="H20" s="6">
        <v>2.2</v>
      </c>
      <c r="I20" s="6">
        <v>115.0</v>
      </c>
      <c r="J20" s="9" t="s">
        <v>26</v>
      </c>
      <c r="K20" s="9" t="s">
        <v>27</v>
      </c>
      <c r="L20" s="6">
        <v>27.0</v>
      </c>
      <c r="M20" s="6">
        <v>46.36334747</v>
      </c>
      <c r="N20" s="6">
        <v>104.1</v>
      </c>
      <c r="O20" s="6">
        <v>67.9</v>
      </c>
      <c r="P20" s="6">
        <v>180.9</v>
      </c>
      <c r="Q20" s="6">
        <v>2.676</v>
      </c>
      <c r="R20" s="6">
        <v>14.3</v>
      </c>
      <c r="S20" s="14">
        <v>40772.0</v>
      </c>
      <c r="T20" s="11">
        <f t="shared" si="1"/>
        <v>8</v>
      </c>
      <c r="U20" s="11">
        <f t="shared" si="2"/>
        <v>2011</v>
      </c>
      <c r="V20" s="12" t="str">
        <f t="shared" si="3"/>
        <v>August</v>
      </c>
      <c r="W20" s="13">
        <f t="shared" si="4"/>
        <v>1929581940</v>
      </c>
    </row>
    <row r="21" ht="15.75" customHeight="1">
      <c r="A21" s="1" t="s">
        <v>52</v>
      </c>
      <c r="B21" s="5" t="s">
        <v>54</v>
      </c>
      <c r="C21" s="6">
        <v>135126.0</v>
      </c>
      <c r="D21" s="7">
        <v>16535.0</v>
      </c>
      <c r="E21" s="7">
        <v>11225.0</v>
      </c>
      <c r="F21" s="8">
        <v>0.68</v>
      </c>
      <c r="G21" s="1" t="s">
        <v>34</v>
      </c>
      <c r="H21" s="6">
        <v>3.1</v>
      </c>
      <c r="I21" s="6">
        <v>170.0</v>
      </c>
      <c r="J21" s="9" t="s">
        <v>26</v>
      </c>
      <c r="K21" s="9" t="s">
        <v>27</v>
      </c>
      <c r="L21" s="6">
        <v>25.0</v>
      </c>
      <c r="M21" s="6">
        <v>67.31446216</v>
      </c>
      <c r="N21" s="6">
        <v>107.0</v>
      </c>
      <c r="O21" s="6">
        <v>69.4</v>
      </c>
      <c r="P21" s="6">
        <v>190.4</v>
      </c>
      <c r="Q21" s="6">
        <v>3.051</v>
      </c>
      <c r="R21" s="6">
        <v>15.0</v>
      </c>
      <c r="S21" s="14">
        <v>40987.0</v>
      </c>
      <c r="T21" s="11">
        <f t="shared" si="1"/>
        <v>3</v>
      </c>
      <c r="U21" s="11">
        <f t="shared" si="2"/>
        <v>2012</v>
      </c>
      <c r="V21" s="12" t="str">
        <f t="shared" si="3"/>
        <v>March</v>
      </c>
      <c r="W21" s="13">
        <f t="shared" si="4"/>
        <v>2234308410</v>
      </c>
    </row>
    <row r="22" ht="15.75" customHeight="1">
      <c r="A22" s="1" t="s">
        <v>52</v>
      </c>
      <c r="B22" s="5" t="s">
        <v>55</v>
      </c>
      <c r="C22" s="6">
        <v>24629.0</v>
      </c>
      <c r="D22" s="7">
        <v>18890.0</v>
      </c>
      <c r="E22" s="7">
        <v>10310.0</v>
      </c>
      <c r="F22" s="8">
        <v>0.55</v>
      </c>
      <c r="G22" s="1" t="s">
        <v>34</v>
      </c>
      <c r="H22" s="6">
        <v>3.1</v>
      </c>
      <c r="I22" s="6">
        <v>175.0</v>
      </c>
      <c r="J22" s="9" t="s">
        <v>26</v>
      </c>
      <c r="K22" s="9" t="s">
        <v>27</v>
      </c>
      <c r="L22" s="6">
        <v>25.0</v>
      </c>
      <c r="M22" s="6">
        <v>69.9913956</v>
      </c>
      <c r="N22" s="6">
        <v>107.5</v>
      </c>
      <c r="O22" s="6">
        <v>72.5</v>
      </c>
      <c r="P22" s="6">
        <v>200.9</v>
      </c>
      <c r="Q22" s="6">
        <v>3.33</v>
      </c>
      <c r="R22" s="6">
        <v>16.6</v>
      </c>
      <c r="S22" s="14">
        <v>40687.0</v>
      </c>
      <c r="T22" s="11">
        <f t="shared" si="1"/>
        <v>5</v>
      </c>
      <c r="U22" s="11">
        <f t="shared" si="2"/>
        <v>2011</v>
      </c>
      <c r="V22" s="12" t="str">
        <f t="shared" si="3"/>
        <v>May</v>
      </c>
      <c r="W22" s="13">
        <f t="shared" si="4"/>
        <v>465241810</v>
      </c>
    </row>
    <row r="23" ht="15.75" customHeight="1">
      <c r="A23" s="1" t="s">
        <v>52</v>
      </c>
      <c r="B23" s="5" t="s">
        <v>56</v>
      </c>
      <c r="C23" s="6">
        <v>42593.0</v>
      </c>
      <c r="D23" s="7">
        <v>19390.0</v>
      </c>
      <c r="E23" s="7">
        <v>11525.0</v>
      </c>
      <c r="F23" s="8">
        <v>0.59</v>
      </c>
      <c r="G23" s="1" t="s">
        <v>34</v>
      </c>
      <c r="H23" s="6">
        <v>3.4</v>
      </c>
      <c r="I23" s="6">
        <v>180.0</v>
      </c>
      <c r="J23" s="9" t="s">
        <v>26</v>
      </c>
      <c r="K23" s="9" t="s">
        <v>27</v>
      </c>
      <c r="L23" s="6">
        <v>27.0</v>
      </c>
      <c r="M23" s="6">
        <v>72.03091719</v>
      </c>
      <c r="N23" s="6">
        <v>110.5</v>
      </c>
      <c r="O23" s="6">
        <v>72.7</v>
      </c>
      <c r="P23" s="6">
        <v>197.9</v>
      </c>
      <c r="Q23" s="6">
        <v>3.34</v>
      </c>
      <c r="R23" s="6">
        <v>17.0</v>
      </c>
      <c r="S23" s="15">
        <v>40899.0</v>
      </c>
      <c r="T23" s="11">
        <f t="shared" si="1"/>
        <v>12</v>
      </c>
      <c r="U23" s="11">
        <f t="shared" si="2"/>
        <v>2011</v>
      </c>
      <c r="V23" s="12" t="str">
        <f t="shared" si="3"/>
        <v>December</v>
      </c>
      <c r="W23" s="13">
        <f t="shared" si="4"/>
        <v>825878270</v>
      </c>
    </row>
    <row r="24" ht="15.75" customHeight="1">
      <c r="A24" s="1" t="s">
        <v>52</v>
      </c>
      <c r="B24" s="5" t="s">
        <v>57</v>
      </c>
      <c r="C24" s="6">
        <v>26402.0</v>
      </c>
      <c r="D24" s="7">
        <v>24340.0</v>
      </c>
      <c r="E24" s="7">
        <v>13025.0</v>
      </c>
      <c r="F24" s="8">
        <v>0.54</v>
      </c>
      <c r="G24" s="1" t="s">
        <v>34</v>
      </c>
      <c r="H24" s="6">
        <v>3.8</v>
      </c>
      <c r="I24" s="6">
        <v>200.0</v>
      </c>
      <c r="J24" s="9" t="s">
        <v>26</v>
      </c>
      <c r="K24" s="9" t="s">
        <v>27</v>
      </c>
      <c r="L24" s="6">
        <v>25.0</v>
      </c>
      <c r="M24" s="6">
        <v>81.11854333</v>
      </c>
      <c r="N24" s="6">
        <v>101.1</v>
      </c>
      <c r="O24" s="6">
        <v>74.1</v>
      </c>
      <c r="P24" s="6">
        <v>193.2</v>
      </c>
      <c r="Q24" s="6">
        <v>3.5</v>
      </c>
      <c r="R24" s="6">
        <v>16.8</v>
      </c>
      <c r="S24" s="14">
        <v>40839.0</v>
      </c>
      <c r="T24" s="11">
        <f t="shared" si="1"/>
        <v>10</v>
      </c>
      <c r="U24" s="11">
        <f t="shared" si="2"/>
        <v>2011</v>
      </c>
      <c r="V24" s="12" t="str">
        <f t="shared" si="3"/>
        <v>October</v>
      </c>
      <c r="W24" s="13">
        <f t="shared" si="4"/>
        <v>642624680</v>
      </c>
    </row>
    <row r="25" ht="15.75" customHeight="1">
      <c r="A25" s="1" t="s">
        <v>52</v>
      </c>
      <c r="B25" s="5" t="s">
        <v>58</v>
      </c>
      <c r="C25" s="6">
        <v>17947.0</v>
      </c>
      <c r="D25" s="7">
        <v>55705.0</v>
      </c>
      <c r="E25" s="7">
        <v>36225.0</v>
      </c>
      <c r="F25" s="8">
        <v>0.65</v>
      </c>
      <c r="G25" s="1" t="s">
        <v>34</v>
      </c>
      <c r="H25" s="6">
        <v>5.7</v>
      </c>
      <c r="I25" s="6">
        <v>345.0</v>
      </c>
      <c r="J25" s="9" t="s">
        <v>35</v>
      </c>
      <c r="K25" s="9" t="s">
        <v>27</v>
      </c>
      <c r="L25" s="6">
        <v>22.0</v>
      </c>
      <c r="M25" s="6">
        <v>141.14115</v>
      </c>
      <c r="N25" s="6">
        <v>104.5</v>
      </c>
      <c r="O25" s="6">
        <v>73.6</v>
      </c>
      <c r="P25" s="6">
        <v>179.7</v>
      </c>
      <c r="Q25" s="6">
        <v>3.21</v>
      </c>
      <c r="R25" s="6">
        <v>19.1</v>
      </c>
      <c r="S25" s="10">
        <v>41041.0</v>
      </c>
      <c r="T25" s="11">
        <f t="shared" si="1"/>
        <v>5</v>
      </c>
      <c r="U25" s="11">
        <f t="shared" si="2"/>
        <v>2012</v>
      </c>
      <c r="V25" s="12" t="str">
        <f t="shared" si="3"/>
        <v>May</v>
      </c>
      <c r="W25" s="13">
        <f t="shared" si="4"/>
        <v>999737635</v>
      </c>
    </row>
    <row r="26" ht="15.75" customHeight="1">
      <c r="A26" s="1" t="s">
        <v>52</v>
      </c>
      <c r="B26" s="5" t="s">
        <v>59</v>
      </c>
      <c r="C26" s="6">
        <v>32299.0</v>
      </c>
      <c r="D26" s="7">
        <v>13960.0</v>
      </c>
      <c r="E26" s="7">
        <v>9125.0</v>
      </c>
      <c r="F26" s="8">
        <v>0.65</v>
      </c>
      <c r="G26" s="1" t="s">
        <v>34</v>
      </c>
      <c r="H26" s="6">
        <v>1.8</v>
      </c>
      <c r="I26" s="6">
        <v>120.0</v>
      </c>
      <c r="J26" s="9" t="s">
        <v>26</v>
      </c>
      <c r="K26" s="9" t="s">
        <v>27</v>
      </c>
      <c r="L26" s="6">
        <v>33.0</v>
      </c>
      <c r="M26" s="6">
        <v>48.2976361</v>
      </c>
      <c r="N26" s="6">
        <v>97.1</v>
      </c>
      <c r="O26" s="6">
        <v>66.7</v>
      </c>
      <c r="P26" s="6">
        <v>174.3</v>
      </c>
      <c r="Q26" s="6">
        <v>2.398</v>
      </c>
      <c r="R26" s="6">
        <v>13.2</v>
      </c>
      <c r="S26" s="10">
        <v>40797.0</v>
      </c>
      <c r="T26" s="11">
        <f t="shared" si="1"/>
        <v>9</v>
      </c>
      <c r="U26" s="11">
        <f t="shared" si="2"/>
        <v>2011</v>
      </c>
      <c r="V26" s="12" t="str">
        <f t="shared" si="3"/>
        <v>September</v>
      </c>
      <c r="W26" s="13">
        <f t="shared" si="4"/>
        <v>450894040</v>
      </c>
    </row>
    <row r="27" ht="15.75" customHeight="1">
      <c r="A27" s="1" t="s">
        <v>52</v>
      </c>
      <c r="B27" s="5" t="s">
        <v>60</v>
      </c>
      <c r="C27" s="6">
        <v>21855.0</v>
      </c>
      <c r="D27" s="7">
        <v>9235.0</v>
      </c>
      <c r="E27" s="7">
        <v>5160.0</v>
      </c>
      <c r="F27" s="8">
        <v>0.56</v>
      </c>
      <c r="G27" s="1" t="s">
        <v>34</v>
      </c>
      <c r="H27" s="6">
        <v>1.0</v>
      </c>
      <c r="I27" s="6">
        <v>55.0</v>
      </c>
      <c r="J27" s="9" t="s">
        <v>61</v>
      </c>
      <c r="K27" s="9" t="s">
        <v>27</v>
      </c>
      <c r="L27" s="6">
        <v>45.0</v>
      </c>
      <c r="M27" s="6">
        <v>23.27627233</v>
      </c>
      <c r="N27" s="6">
        <v>93.1</v>
      </c>
      <c r="O27" s="6">
        <v>62.6</v>
      </c>
      <c r="P27" s="6">
        <v>149.4</v>
      </c>
      <c r="Q27" s="6">
        <v>1.895</v>
      </c>
      <c r="R27" s="6">
        <v>10.3</v>
      </c>
      <c r="S27" s="15">
        <v>41012.0</v>
      </c>
      <c r="T27" s="11">
        <f t="shared" si="1"/>
        <v>4</v>
      </c>
      <c r="U27" s="11">
        <f t="shared" si="2"/>
        <v>2012</v>
      </c>
      <c r="V27" s="12" t="str">
        <f t="shared" si="3"/>
        <v>April</v>
      </c>
      <c r="W27" s="13">
        <f t="shared" si="4"/>
        <v>201830925</v>
      </c>
    </row>
    <row r="28" ht="15.75" customHeight="1">
      <c r="A28" s="1" t="s">
        <v>52</v>
      </c>
      <c r="B28" s="5" t="s">
        <v>62</v>
      </c>
      <c r="C28" s="6">
        <v>107995.0</v>
      </c>
      <c r="D28" s="7">
        <v>18890.0</v>
      </c>
      <c r="E28" s="7">
        <v>11550.0</v>
      </c>
      <c r="F28" s="8">
        <v>0.61</v>
      </c>
      <c r="G28" s="1" t="s">
        <v>34</v>
      </c>
      <c r="H28" s="6">
        <v>3.4</v>
      </c>
      <c r="I28" s="6">
        <v>180.0</v>
      </c>
      <c r="J28" s="9" t="s">
        <v>26</v>
      </c>
      <c r="K28" s="9" t="s">
        <v>27</v>
      </c>
      <c r="L28" s="6">
        <v>27.0</v>
      </c>
      <c r="M28" s="6">
        <v>71.83803944</v>
      </c>
      <c r="N28" s="6">
        <v>110.5</v>
      </c>
      <c r="O28" s="6">
        <v>73.0</v>
      </c>
      <c r="P28" s="6">
        <v>200.0</v>
      </c>
      <c r="Q28" s="6">
        <v>3.389</v>
      </c>
      <c r="R28" s="6">
        <v>17.0</v>
      </c>
      <c r="S28" s="15">
        <v>40712.0</v>
      </c>
      <c r="T28" s="11">
        <f t="shared" si="1"/>
        <v>6</v>
      </c>
      <c r="U28" s="11">
        <f t="shared" si="2"/>
        <v>2011</v>
      </c>
      <c r="V28" s="12" t="str">
        <f t="shared" si="3"/>
        <v>June</v>
      </c>
      <c r="W28" s="13">
        <f t="shared" si="4"/>
        <v>2040025550</v>
      </c>
    </row>
    <row r="29" ht="15.75" customHeight="1">
      <c r="A29" s="1" t="s">
        <v>63</v>
      </c>
      <c r="B29" s="5" t="s">
        <v>64</v>
      </c>
      <c r="C29" s="6">
        <v>7854.0</v>
      </c>
      <c r="D29" s="7">
        <v>19840.0</v>
      </c>
      <c r="E29" s="7">
        <v>12360.0</v>
      </c>
      <c r="F29" s="8">
        <v>0.62</v>
      </c>
      <c r="G29" s="1" t="s">
        <v>34</v>
      </c>
      <c r="H29" s="6">
        <v>2.5</v>
      </c>
      <c r="I29" s="6">
        <v>163.0</v>
      </c>
      <c r="J29" s="9" t="s">
        <v>26</v>
      </c>
      <c r="K29" s="9" t="s">
        <v>27</v>
      </c>
      <c r="L29" s="6">
        <v>24.0</v>
      </c>
      <c r="M29" s="6">
        <v>65.95718396</v>
      </c>
      <c r="N29" s="6">
        <v>103.7</v>
      </c>
      <c r="O29" s="6">
        <v>69.7</v>
      </c>
      <c r="P29" s="6">
        <v>190.9</v>
      </c>
      <c r="Q29" s="6">
        <v>2.967</v>
      </c>
      <c r="R29" s="6">
        <v>15.9</v>
      </c>
      <c r="S29" s="15">
        <v>40924.0</v>
      </c>
      <c r="T29" s="11">
        <f t="shared" si="1"/>
        <v>1</v>
      </c>
      <c r="U29" s="11">
        <f t="shared" si="2"/>
        <v>2012</v>
      </c>
      <c r="V29" s="12" t="str">
        <f t="shared" si="3"/>
        <v>January</v>
      </c>
      <c r="W29" s="13">
        <f t="shared" si="4"/>
        <v>155823360</v>
      </c>
    </row>
    <row r="30" ht="15.75" customHeight="1">
      <c r="A30" s="1" t="s">
        <v>63</v>
      </c>
      <c r="B30" s="5" t="s">
        <v>65</v>
      </c>
      <c r="C30" s="6">
        <v>32775.0</v>
      </c>
      <c r="D30" s="7">
        <v>24495.0</v>
      </c>
      <c r="E30" s="7">
        <v>14180.0</v>
      </c>
      <c r="F30" s="8">
        <v>0.58</v>
      </c>
      <c r="G30" s="1" t="s">
        <v>34</v>
      </c>
      <c r="H30" s="6">
        <v>2.5</v>
      </c>
      <c r="I30" s="6">
        <v>168.0</v>
      </c>
      <c r="J30" s="9" t="s">
        <v>26</v>
      </c>
      <c r="K30" s="9" t="s">
        <v>27</v>
      </c>
      <c r="L30" s="6">
        <v>24.0</v>
      </c>
      <c r="M30" s="6">
        <v>69.52135505</v>
      </c>
      <c r="N30" s="6">
        <v>106.0</v>
      </c>
      <c r="O30" s="6">
        <v>69.2</v>
      </c>
      <c r="P30" s="6">
        <v>193.0</v>
      </c>
      <c r="Q30" s="6">
        <v>3.332</v>
      </c>
      <c r="R30" s="6">
        <v>16.0</v>
      </c>
      <c r="S30" s="15">
        <v>40864.0</v>
      </c>
      <c r="T30" s="11">
        <f t="shared" si="1"/>
        <v>11</v>
      </c>
      <c r="U30" s="11">
        <f t="shared" si="2"/>
        <v>2011</v>
      </c>
      <c r="V30" s="12" t="str">
        <f t="shared" si="3"/>
        <v>November</v>
      </c>
      <c r="W30" s="13">
        <f t="shared" si="4"/>
        <v>802823625</v>
      </c>
    </row>
    <row r="31" ht="15.75" customHeight="1">
      <c r="A31" s="1" t="s">
        <v>63</v>
      </c>
      <c r="B31" s="5" t="s">
        <v>66</v>
      </c>
      <c r="C31" s="6">
        <v>31148.0</v>
      </c>
      <c r="D31" s="7">
        <v>22245.0</v>
      </c>
      <c r="E31" s="7">
        <v>13725.0</v>
      </c>
      <c r="F31" s="8">
        <v>0.62</v>
      </c>
      <c r="G31" s="1" t="s">
        <v>34</v>
      </c>
      <c r="H31" s="6">
        <v>2.7</v>
      </c>
      <c r="I31" s="6">
        <v>200.0</v>
      </c>
      <c r="J31" s="9" t="s">
        <v>26</v>
      </c>
      <c r="K31" s="9" t="s">
        <v>27</v>
      </c>
      <c r="L31" s="6">
        <v>26.0</v>
      </c>
      <c r="M31" s="6">
        <v>80.02378204</v>
      </c>
      <c r="N31" s="6">
        <v>113.0</v>
      </c>
      <c r="O31" s="6">
        <v>74.4</v>
      </c>
      <c r="P31" s="6">
        <v>209.1</v>
      </c>
      <c r="Q31" s="6">
        <v>3.452</v>
      </c>
      <c r="R31" s="6">
        <v>17.0</v>
      </c>
      <c r="S31" s="10">
        <v>41066.0</v>
      </c>
      <c r="T31" s="11">
        <f t="shared" si="1"/>
        <v>6</v>
      </c>
      <c r="U31" s="11">
        <f t="shared" si="2"/>
        <v>2012</v>
      </c>
      <c r="V31" s="12" t="str">
        <f t="shared" si="3"/>
        <v>June</v>
      </c>
      <c r="W31" s="13">
        <f t="shared" si="4"/>
        <v>692887260</v>
      </c>
    </row>
    <row r="32" ht="15.75" customHeight="1">
      <c r="A32" s="1" t="s">
        <v>63</v>
      </c>
      <c r="B32" s="5" t="s">
        <v>67</v>
      </c>
      <c r="C32" s="6">
        <v>32306.0</v>
      </c>
      <c r="D32" s="7">
        <v>16480.0</v>
      </c>
      <c r="E32" s="7">
        <v>12640.0</v>
      </c>
      <c r="F32" s="8">
        <v>0.77</v>
      </c>
      <c r="G32" s="1" t="s">
        <v>25</v>
      </c>
      <c r="H32" s="6">
        <v>2.0</v>
      </c>
      <c r="I32" s="6">
        <v>132.0</v>
      </c>
      <c r="J32" s="9" t="s">
        <v>26</v>
      </c>
      <c r="K32" s="9" t="s">
        <v>27</v>
      </c>
      <c r="L32" s="6">
        <v>27.0</v>
      </c>
      <c r="M32" s="6">
        <v>53.56619987</v>
      </c>
      <c r="N32" s="6">
        <v>108.0</v>
      </c>
      <c r="O32" s="6">
        <v>71.0</v>
      </c>
      <c r="P32" s="6">
        <v>186.0</v>
      </c>
      <c r="Q32" s="6">
        <v>2.911</v>
      </c>
      <c r="R32" s="6">
        <v>16.0</v>
      </c>
      <c r="S32" s="10">
        <v>40822.0</v>
      </c>
      <c r="T32" s="11">
        <f t="shared" si="1"/>
        <v>10</v>
      </c>
      <c r="U32" s="11">
        <f t="shared" si="2"/>
        <v>2011</v>
      </c>
      <c r="V32" s="12" t="str">
        <f t="shared" si="3"/>
        <v>October</v>
      </c>
      <c r="W32" s="13">
        <f t="shared" si="4"/>
        <v>532402880</v>
      </c>
    </row>
    <row r="33" ht="15.75" customHeight="1">
      <c r="A33" s="1" t="s">
        <v>63</v>
      </c>
      <c r="B33" s="5" t="s">
        <v>68</v>
      </c>
      <c r="C33" s="6">
        <v>13462.0</v>
      </c>
      <c r="D33" s="7">
        <v>28340.0</v>
      </c>
      <c r="E33" s="7">
        <v>17325.0</v>
      </c>
      <c r="F33" s="8">
        <v>0.61</v>
      </c>
      <c r="G33" s="1" t="s">
        <v>34</v>
      </c>
      <c r="H33" s="6">
        <v>3.5</v>
      </c>
      <c r="I33" s="6">
        <v>253.0</v>
      </c>
      <c r="J33" s="9" t="s">
        <v>26</v>
      </c>
      <c r="K33" s="9" t="s">
        <v>27</v>
      </c>
      <c r="L33" s="6">
        <v>23.0</v>
      </c>
      <c r="M33" s="6">
        <v>101.3292807</v>
      </c>
      <c r="N33" s="6">
        <v>113.0</v>
      </c>
      <c r="O33" s="6">
        <v>74.4</v>
      </c>
      <c r="P33" s="6">
        <v>207.7</v>
      </c>
      <c r="Q33" s="6">
        <v>3.564</v>
      </c>
      <c r="R33" s="6">
        <v>17.0</v>
      </c>
      <c r="S33" s="10">
        <v>41037.0</v>
      </c>
      <c r="T33" s="11">
        <f t="shared" si="1"/>
        <v>5</v>
      </c>
      <c r="U33" s="11">
        <f t="shared" si="2"/>
        <v>2012</v>
      </c>
      <c r="V33" s="12" t="str">
        <f t="shared" si="3"/>
        <v>May</v>
      </c>
      <c r="W33" s="13">
        <f t="shared" si="4"/>
        <v>381513080</v>
      </c>
    </row>
    <row r="34" ht="15.75" customHeight="1">
      <c r="A34" s="1" t="s">
        <v>63</v>
      </c>
      <c r="B34" s="5" t="s">
        <v>69</v>
      </c>
      <c r="C34" s="6">
        <v>30696.0</v>
      </c>
      <c r="D34" s="7">
        <v>29185.0</v>
      </c>
      <c r="E34" s="7">
        <v>18425.0</v>
      </c>
      <c r="F34" s="8">
        <v>0.63</v>
      </c>
      <c r="G34" s="1" t="s">
        <v>34</v>
      </c>
      <c r="H34" s="6">
        <v>3.5</v>
      </c>
      <c r="I34" s="6">
        <v>253.0</v>
      </c>
      <c r="J34" s="9" t="s">
        <v>26</v>
      </c>
      <c r="K34" s="9" t="s">
        <v>27</v>
      </c>
      <c r="L34" s="6">
        <v>23.0</v>
      </c>
      <c r="M34" s="6">
        <v>101.6552441</v>
      </c>
      <c r="N34" s="6">
        <v>113.0</v>
      </c>
      <c r="O34" s="6">
        <v>74.4</v>
      </c>
      <c r="P34" s="6">
        <v>197.8</v>
      </c>
      <c r="Q34" s="6">
        <v>3.567</v>
      </c>
      <c r="R34" s="6">
        <v>17.0</v>
      </c>
      <c r="S34" s="10">
        <v>40949.0</v>
      </c>
      <c r="T34" s="11">
        <f t="shared" si="1"/>
        <v>2</v>
      </c>
      <c r="U34" s="11">
        <f t="shared" si="2"/>
        <v>2012</v>
      </c>
      <c r="V34" s="12" t="str">
        <f t="shared" si="3"/>
        <v>February</v>
      </c>
      <c r="W34" s="13">
        <f t="shared" si="4"/>
        <v>895862760</v>
      </c>
    </row>
    <row r="35" ht="15.75" customHeight="1">
      <c r="A35" s="1" t="s">
        <v>70</v>
      </c>
      <c r="B35" s="5" t="s">
        <v>71</v>
      </c>
      <c r="C35" s="6">
        <v>76034.0</v>
      </c>
      <c r="D35" s="7">
        <v>12640.0</v>
      </c>
      <c r="E35" s="7">
        <v>7750.0</v>
      </c>
      <c r="F35" s="8">
        <v>0.61</v>
      </c>
      <c r="G35" s="1" t="s">
        <v>34</v>
      </c>
      <c r="H35" s="6">
        <v>2.0</v>
      </c>
      <c r="I35" s="6">
        <v>132.0</v>
      </c>
      <c r="J35" s="9" t="s">
        <v>26</v>
      </c>
      <c r="K35" s="9" t="s">
        <v>27</v>
      </c>
      <c r="L35" s="6">
        <v>29.0</v>
      </c>
      <c r="M35" s="6">
        <v>52.08489875</v>
      </c>
      <c r="N35" s="6">
        <v>105.0</v>
      </c>
      <c r="O35" s="6">
        <v>74.4</v>
      </c>
      <c r="P35" s="6">
        <v>174.4</v>
      </c>
      <c r="Q35" s="6">
        <v>2.567</v>
      </c>
      <c r="R35" s="6">
        <v>12.5</v>
      </c>
      <c r="S35" s="10">
        <v>40889.0</v>
      </c>
      <c r="T35" s="11">
        <f t="shared" si="1"/>
        <v>12</v>
      </c>
      <c r="U35" s="11">
        <f t="shared" si="2"/>
        <v>2011</v>
      </c>
      <c r="V35" s="12" t="str">
        <f t="shared" si="3"/>
        <v>December</v>
      </c>
      <c r="W35" s="13">
        <f t="shared" si="4"/>
        <v>961069760</v>
      </c>
    </row>
    <row r="36" ht="15.75" customHeight="1">
      <c r="A36" s="1" t="s">
        <v>70</v>
      </c>
      <c r="B36" s="5" t="s">
        <v>72</v>
      </c>
      <c r="C36" s="6">
        <v>4734.0</v>
      </c>
      <c r="D36" s="7">
        <v>19045.0</v>
      </c>
      <c r="E36" s="7">
        <v>12545.0</v>
      </c>
      <c r="F36" s="8">
        <v>0.66</v>
      </c>
      <c r="G36" s="1" t="s">
        <v>34</v>
      </c>
      <c r="H36" s="6">
        <v>2.5</v>
      </c>
      <c r="I36" s="6">
        <v>163.0</v>
      </c>
      <c r="J36" s="9" t="s">
        <v>26</v>
      </c>
      <c r="K36" s="9" t="s">
        <v>27</v>
      </c>
      <c r="L36" s="6">
        <v>24.0</v>
      </c>
      <c r="M36" s="6">
        <v>65.65050834</v>
      </c>
      <c r="N36" s="6">
        <v>103.7</v>
      </c>
      <c r="O36" s="6">
        <v>69.1</v>
      </c>
      <c r="P36" s="6">
        <v>190.2</v>
      </c>
      <c r="Q36" s="6">
        <v>2.879</v>
      </c>
      <c r="R36" s="6">
        <v>15.9</v>
      </c>
      <c r="S36" s="10">
        <v>41091.0</v>
      </c>
      <c r="T36" s="11">
        <f t="shared" si="1"/>
        <v>7</v>
      </c>
      <c r="U36" s="11">
        <f t="shared" si="2"/>
        <v>2012</v>
      </c>
      <c r="V36" s="12" t="str">
        <f t="shared" si="3"/>
        <v>July</v>
      </c>
      <c r="W36" s="13">
        <f t="shared" si="4"/>
        <v>90159030</v>
      </c>
    </row>
    <row r="37" ht="15.75" customHeight="1">
      <c r="A37" s="1" t="s">
        <v>70</v>
      </c>
      <c r="B37" s="5" t="s">
        <v>73</v>
      </c>
      <c r="C37" s="6">
        <v>71186.0</v>
      </c>
      <c r="D37" s="7">
        <v>20230.0</v>
      </c>
      <c r="E37" s="7">
        <v>10185.0</v>
      </c>
      <c r="F37" s="8">
        <v>0.5</v>
      </c>
      <c r="G37" s="1" t="s">
        <v>34</v>
      </c>
      <c r="H37" s="6">
        <v>2.5</v>
      </c>
      <c r="I37" s="6">
        <v>168.0</v>
      </c>
      <c r="J37" s="9" t="s">
        <v>26</v>
      </c>
      <c r="K37" s="9" t="s">
        <v>27</v>
      </c>
      <c r="L37" s="6">
        <v>24.0</v>
      </c>
      <c r="M37" s="6">
        <v>67.87610784</v>
      </c>
      <c r="N37" s="6">
        <v>108.0</v>
      </c>
      <c r="O37" s="6">
        <v>71.0</v>
      </c>
      <c r="P37" s="6">
        <v>186.0</v>
      </c>
      <c r="Q37" s="6">
        <v>3.058</v>
      </c>
      <c r="R37" s="6">
        <v>16.0</v>
      </c>
      <c r="S37" s="14">
        <v>40847.0</v>
      </c>
      <c r="T37" s="11">
        <f t="shared" si="1"/>
        <v>10</v>
      </c>
      <c r="U37" s="11">
        <f t="shared" si="2"/>
        <v>2011</v>
      </c>
      <c r="V37" s="12" t="str">
        <f t="shared" si="3"/>
        <v>October</v>
      </c>
      <c r="W37" s="13">
        <f t="shared" si="4"/>
        <v>1440092780</v>
      </c>
    </row>
    <row r="38" ht="15.75" customHeight="1">
      <c r="A38" s="1" t="s">
        <v>70</v>
      </c>
      <c r="B38" s="5" t="s">
        <v>74</v>
      </c>
      <c r="C38" s="6">
        <v>88028.0</v>
      </c>
      <c r="D38" s="7">
        <v>22505.0</v>
      </c>
      <c r="E38" s="7">
        <v>12275.0</v>
      </c>
      <c r="F38" s="8">
        <v>0.55</v>
      </c>
      <c r="G38" s="1" t="s">
        <v>34</v>
      </c>
      <c r="H38" s="6">
        <v>2.7</v>
      </c>
      <c r="I38" s="6">
        <v>202.0</v>
      </c>
      <c r="J38" s="9" t="s">
        <v>26</v>
      </c>
      <c r="K38" s="9" t="s">
        <v>27</v>
      </c>
      <c r="L38" s="6">
        <v>22.0</v>
      </c>
      <c r="M38" s="6">
        <v>80.83147017</v>
      </c>
      <c r="N38" s="6">
        <v>113.0</v>
      </c>
      <c r="O38" s="6">
        <v>74.7</v>
      </c>
      <c r="P38" s="6">
        <v>203.7</v>
      </c>
      <c r="Q38" s="6">
        <v>3.489</v>
      </c>
      <c r="R38" s="6">
        <v>17.0</v>
      </c>
      <c r="S38" s="10">
        <v>41062.0</v>
      </c>
      <c r="T38" s="11">
        <f t="shared" si="1"/>
        <v>6</v>
      </c>
      <c r="U38" s="11">
        <f t="shared" si="2"/>
        <v>2012</v>
      </c>
      <c r="V38" s="12" t="str">
        <f t="shared" si="3"/>
        <v>June</v>
      </c>
      <c r="W38" s="13">
        <f t="shared" si="4"/>
        <v>1981070140</v>
      </c>
    </row>
    <row r="39" ht="15.75" customHeight="1">
      <c r="A39" s="1" t="s">
        <v>70</v>
      </c>
      <c r="B39" s="5" t="s">
        <v>75</v>
      </c>
      <c r="C39" s="6">
        <v>916.0</v>
      </c>
      <c r="D39" s="7">
        <v>69725.0</v>
      </c>
      <c r="E39" s="7">
        <v>58470.0</v>
      </c>
      <c r="F39" s="8">
        <v>0.84</v>
      </c>
      <c r="G39" s="1" t="s">
        <v>25</v>
      </c>
      <c r="H39" s="6">
        <v>8.0</v>
      </c>
      <c r="I39" s="6">
        <v>450.0</v>
      </c>
      <c r="J39" s="9" t="s">
        <v>35</v>
      </c>
      <c r="K39" s="9" t="s">
        <v>27</v>
      </c>
      <c r="L39" s="6">
        <v>16.0</v>
      </c>
      <c r="M39" s="6">
        <v>188.144323</v>
      </c>
      <c r="N39" s="6">
        <v>96.2</v>
      </c>
      <c r="O39" s="6">
        <v>75.7</v>
      </c>
      <c r="P39" s="6">
        <v>176.7</v>
      </c>
      <c r="Q39" s="6">
        <v>3.375</v>
      </c>
      <c r="R39" s="6">
        <v>19.0</v>
      </c>
      <c r="S39" s="10">
        <v>40762.0</v>
      </c>
      <c r="T39" s="11">
        <f t="shared" si="1"/>
        <v>8</v>
      </c>
      <c r="U39" s="11">
        <f t="shared" si="2"/>
        <v>2011</v>
      </c>
      <c r="V39" s="12" t="str">
        <f t="shared" si="3"/>
        <v>August</v>
      </c>
      <c r="W39" s="13">
        <f t="shared" si="4"/>
        <v>63868100</v>
      </c>
    </row>
    <row r="40" ht="15.75" customHeight="1">
      <c r="A40" s="1" t="s">
        <v>70</v>
      </c>
      <c r="B40" s="5" t="s">
        <v>76</v>
      </c>
      <c r="C40" s="6">
        <v>227061.0</v>
      </c>
      <c r="D40" s="7">
        <v>19460.0</v>
      </c>
      <c r="E40" s="7">
        <v>15060.0</v>
      </c>
      <c r="F40" s="8">
        <v>0.77</v>
      </c>
      <c r="G40" s="1" t="s">
        <v>25</v>
      </c>
      <c r="H40" s="6">
        <v>5.2</v>
      </c>
      <c r="I40" s="6">
        <v>230.0</v>
      </c>
      <c r="J40" s="9" t="s">
        <v>26</v>
      </c>
      <c r="K40" s="9" t="s">
        <v>51</v>
      </c>
      <c r="L40" s="6">
        <v>17.0</v>
      </c>
      <c r="M40" s="6">
        <v>90.21170005</v>
      </c>
      <c r="N40" s="6">
        <v>138.7</v>
      </c>
      <c r="O40" s="6">
        <v>79.3</v>
      </c>
      <c r="P40" s="6">
        <v>224.2</v>
      </c>
      <c r="Q40" s="6">
        <v>4.47</v>
      </c>
      <c r="R40" s="6">
        <v>26.0</v>
      </c>
      <c r="S40" s="10">
        <v>40974.0</v>
      </c>
      <c r="T40" s="11">
        <f t="shared" si="1"/>
        <v>3</v>
      </c>
      <c r="U40" s="11">
        <f t="shared" si="2"/>
        <v>2012</v>
      </c>
      <c r="V40" s="12" t="str">
        <f t="shared" si="3"/>
        <v>March</v>
      </c>
      <c r="W40" s="13">
        <f t="shared" si="4"/>
        <v>4418607060</v>
      </c>
    </row>
    <row r="41" ht="15.75" customHeight="1">
      <c r="A41" s="1" t="s">
        <v>70</v>
      </c>
      <c r="B41" s="5" t="s">
        <v>77</v>
      </c>
      <c r="C41" s="6">
        <v>16767.0</v>
      </c>
      <c r="D41" s="7">
        <v>21315.0</v>
      </c>
      <c r="E41" s="7">
        <v>15510.0</v>
      </c>
      <c r="F41" s="8">
        <v>0.73</v>
      </c>
      <c r="G41" s="1" t="s">
        <v>25</v>
      </c>
      <c r="H41" s="6">
        <v>3.9</v>
      </c>
      <c r="I41" s="6">
        <v>175.0</v>
      </c>
      <c r="J41" s="9" t="s">
        <v>26</v>
      </c>
      <c r="K41" s="9" t="s">
        <v>51</v>
      </c>
      <c r="L41" s="6">
        <v>15.0</v>
      </c>
      <c r="M41" s="6">
        <v>71.13529161</v>
      </c>
      <c r="N41" s="6">
        <v>109.6</v>
      </c>
      <c r="O41" s="6">
        <v>78.8</v>
      </c>
      <c r="P41" s="6">
        <v>192.6</v>
      </c>
      <c r="Q41" s="6">
        <v>4.245</v>
      </c>
      <c r="R41" s="6">
        <v>32.0</v>
      </c>
      <c r="S41" s="10">
        <v>40914.0</v>
      </c>
      <c r="T41" s="11">
        <f t="shared" si="1"/>
        <v>1</v>
      </c>
      <c r="U41" s="11">
        <f t="shared" si="2"/>
        <v>2012</v>
      </c>
      <c r="V41" s="12" t="str">
        <f t="shared" si="3"/>
        <v>January</v>
      </c>
      <c r="W41" s="13">
        <f t="shared" si="4"/>
        <v>357388605</v>
      </c>
    </row>
    <row r="42" ht="15.75" customHeight="1">
      <c r="A42" s="1" t="s">
        <v>70</v>
      </c>
      <c r="B42" s="5" t="s">
        <v>78</v>
      </c>
      <c r="C42" s="6">
        <v>31038.0</v>
      </c>
      <c r="D42" s="7">
        <v>18575.0</v>
      </c>
      <c r="E42" s="7">
        <v>13425.0</v>
      </c>
      <c r="F42" s="8">
        <v>0.72</v>
      </c>
      <c r="G42" s="1" t="s">
        <v>25</v>
      </c>
      <c r="H42" s="6">
        <v>3.9</v>
      </c>
      <c r="I42" s="6">
        <v>175.0</v>
      </c>
      <c r="J42" s="9" t="s">
        <v>26</v>
      </c>
      <c r="K42" s="9" t="s">
        <v>51</v>
      </c>
      <c r="L42" s="6">
        <v>16.0</v>
      </c>
      <c r="M42" s="6">
        <v>70.07832154</v>
      </c>
      <c r="N42" s="6">
        <v>127.2</v>
      </c>
      <c r="O42" s="6">
        <v>78.8</v>
      </c>
      <c r="P42" s="6">
        <v>208.5</v>
      </c>
      <c r="Q42" s="6">
        <v>4.298</v>
      </c>
      <c r="R42" s="6">
        <v>32.0</v>
      </c>
      <c r="S42" s="15">
        <v>41116.0</v>
      </c>
      <c r="T42" s="11">
        <f t="shared" si="1"/>
        <v>7</v>
      </c>
      <c r="U42" s="11">
        <f t="shared" si="2"/>
        <v>2012</v>
      </c>
      <c r="V42" s="12" t="str">
        <f t="shared" si="3"/>
        <v>July</v>
      </c>
      <c r="W42" s="13">
        <f t="shared" si="4"/>
        <v>576530850</v>
      </c>
    </row>
    <row r="43" ht="15.75" customHeight="1">
      <c r="A43" s="1" t="s">
        <v>70</v>
      </c>
      <c r="B43" s="5" t="s">
        <v>79</v>
      </c>
      <c r="C43" s="6">
        <v>111313.0</v>
      </c>
      <c r="D43" s="7">
        <v>16980.0</v>
      </c>
      <c r="E43" s="7">
        <v>11260.0</v>
      </c>
      <c r="F43" s="8">
        <v>0.66</v>
      </c>
      <c r="G43" s="1" t="s">
        <v>34</v>
      </c>
      <c r="H43" s="6">
        <v>2.5</v>
      </c>
      <c r="I43" s="6">
        <v>120.0</v>
      </c>
      <c r="J43" s="9" t="s">
        <v>26</v>
      </c>
      <c r="K43" s="9" t="s">
        <v>51</v>
      </c>
      <c r="L43" s="6">
        <v>19.0</v>
      </c>
      <c r="M43" s="6">
        <v>49.64500177</v>
      </c>
      <c r="N43" s="6">
        <v>131.0</v>
      </c>
      <c r="O43" s="6">
        <v>71.5</v>
      </c>
      <c r="P43" s="6">
        <v>215.0</v>
      </c>
      <c r="Q43" s="6">
        <v>3.557</v>
      </c>
      <c r="R43" s="6">
        <v>22.0</v>
      </c>
      <c r="S43" s="14">
        <v>40872.0</v>
      </c>
      <c r="T43" s="11">
        <f t="shared" si="1"/>
        <v>11</v>
      </c>
      <c r="U43" s="11">
        <f t="shared" si="2"/>
        <v>2011</v>
      </c>
      <c r="V43" s="12" t="str">
        <f t="shared" si="3"/>
        <v>November</v>
      </c>
      <c r="W43" s="13">
        <f t="shared" si="4"/>
        <v>1890094740</v>
      </c>
    </row>
    <row r="44" ht="15.75" customHeight="1">
      <c r="A44" s="1" t="s">
        <v>70</v>
      </c>
      <c r="B44" s="5" t="s">
        <v>80</v>
      </c>
      <c r="C44" s="6">
        <v>101323.0</v>
      </c>
      <c r="D44" s="7">
        <v>26310.0</v>
      </c>
      <c r="E44" s="7">
        <v>21436.0</v>
      </c>
      <c r="F44" s="8">
        <v>0.81</v>
      </c>
      <c r="G44" s="1" t="s">
        <v>25</v>
      </c>
      <c r="H44" s="6">
        <v>5.2</v>
      </c>
      <c r="I44" s="6">
        <v>230.0</v>
      </c>
      <c r="J44" s="9" t="s">
        <v>26</v>
      </c>
      <c r="K44" s="9" t="s">
        <v>51</v>
      </c>
      <c r="L44" s="6">
        <v>17.0</v>
      </c>
      <c r="M44" s="6">
        <v>92.85412522</v>
      </c>
      <c r="N44" s="6">
        <v>115.7</v>
      </c>
      <c r="O44" s="6">
        <v>71.7</v>
      </c>
      <c r="P44" s="6">
        <v>193.5</v>
      </c>
      <c r="Q44" s="6">
        <v>4.394</v>
      </c>
      <c r="R44" s="6">
        <v>25.0</v>
      </c>
      <c r="S44" s="14">
        <v>41087.0</v>
      </c>
      <c r="T44" s="11">
        <f t="shared" si="1"/>
        <v>6</v>
      </c>
      <c r="U44" s="11">
        <f t="shared" si="2"/>
        <v>2012</v>
      </c>
      <c r="V44" s="12" t="str">
        <f t="shared" si="3"/>
        <v>June</v>
      </c>
      <c r="W44" s="13">
        <f t="shared" si="4"/>
        <v>2665808130</v>
      </c>
    </row>
    <row r="45" ht="15.75" customHeight="1">
      <c r="A45" s="1" t="s">
        <v>70</v>
      </c>
      <c r="B45" s="5" t="s">
        <v>81</v>
      </c>
      <c r="C45" s="6">
        <v>181749.0</v>
      </c>
      <c r="D45" s="7">
        <v>19565.0</v>
      </c>
      <c r="E45" s="7">
        <v>12025.0</v>
      </c>
      <c r="F45" s="8">
        <v>0.61</v>
      </c>
      <c r="G45" s="1" t="s">
        <v>34</v>
      </c>
      <c r="H45" s="6">
        <v>2.4</v>
      </c>
      <c r="I45" s="6">
        <v>150.0</v>
      </c>
      <c r="J45" s="9" t="s">
        <v>26</v>
      </c>
      <c r="K45" s="9" t="s">
        <v>51</v>
      </c>
      <c r="L45" s="6">
        <v>24.0</v>
      </c>
      <c r="M45" s="6">
        <v>61.22700031</v>
      </c>
      <c r="N45" s="6">
        <v>113.3</v>
      </c>
      <c r="O45" s="6">
        <v>76.8</v>
      </c>
      <c r="P45" s="6">
        <v>186.3</v>
      </c>
      <c r="Q45" s="6">
        <v>3.533</v>
      </c>
      <c r="R45" s="6">
        <v>20.0</v>
      </c>
      <c r="S45" s="10">
        <v>40787.0</v>
      </c>
      <c r="T45" s="11">
        <f t="shared" si="1"/>
        <v>9</v>
      </c>
      <c r="U45" s="11">
        <f t="shared" si="2"/>
        <v>2011</v>
      </c>
      <c r="V45" s="12" t="str">
        <f t="shared" si="3"/>
        <v>September</v>
      </c>
      <c r="W45" s="13">
        <f t="shared" si="4"/>
        <v>3555919185</v>
      </c>
    </row>
    <row r="46" ht="15.75" customHeight="1">
      <c r="A46" s="1" t="s">
        <v>82</v>
      </c>
      <c r="B46" s="5" t="s">
        <v>83</v>
      </c>
      <c r="C46" s="6">
        <v>70227.0</v>
      </c>
      <c r="D46" s="7">
        <v>12070.0</v>
      </c>
      <c r="E46" s="7">
        <v>7425.0</v>
      </c>
      <c r="F46" s="8">
        <v>0.62</v>
      </c>
      <c r="G46" s="1" t="s">
        <v>34</v>
      </c>
      <c r="H46" s="6">
        <v>2.0</v>
      </c>
      <c r="I46" s="6">
        <v>110.0</v>
      </c>
      <c r="J46" s="9" t="s">
        <v>26</v>
      </c>
      <c r="K46" s="9" t="s">
        <v>27</v>
      </c>
      <c r="L46" s="6">
        <v>30.0</v>
      </c>
      <c r="M46" s="6">
        <v>44.08370946</v>
      </c>
      <c r="N46" s="6">
        <v>98.4</v>
      </c>
      <c r="O46" s="6">
        <v>67.0</v>
      </c>
      <c r="P46" s="6">
        <v>174.7</v>
      </c>
      <c r="Q46" s="6">
        <v>2.468</v>
      </c>
      <c r="R46" s="6">
        <v>12.7</v>
      </c>
      <c r="S46" s="15">
        <v>40999.0</v>
      </c>
      <c r="T46" s="11">
        <f t="shared" si="1"/>
        <v>3</v>
      </c>
      <c r="U46" s="11">
        <f t="shared" si="2"/>
        <v>2012</v>
      </c>
      <c r="V46" s="12" t="str">
        <f t="shared" si="3"/>
        <v>March</v>
      </c>
      <c r="W46" s="13">
        <f t="shared" si="4"/>
        <v>847639890</v>
      </c>
    </row>
    <row r="47" ht="15.75" customHeight="1">
      <c r="A47" s="1" t="s">
        <v>82</v>
      </c>
      <c r="B47" s="5" t="s">
        <v>84</v>
      </c>
      <c r="C47" s="6">
        <v>113369.0</v>
      </c>
      <c r="D47" s="7">
        <v>21560.0</v>
      </c>
      <c r="E47" s="7">
        <v>12760.0</v>
      </c>
      <c r="F47" s="8">
        <v>0.59</v>
      </c>
      <c r="G47" s="1" t="s">
        <v>34</v>
      </c>
      <c r="H47" s="6">
        <v>3.8</v>
      </c>
      <c r="I47" s="6">
        <v>190.0</v>
      </c>
      <c r="J47" s="9" t="s">
        <v>26</v>
      </c>
      <c r="K47" s="9" t="s">
        <v>27</v>
      </c>
      <c r="L47" s="6">
        <v>24.0</v>
      </c>
      <c r="M47" s="6">
        <v>76.50918456</v>
      </c>
      <c r="N47" s="6">
        <v>101.3</v>
      </c>
      <c r="O47" s="6">
        <v>73.1</v>
      </c>
      <c r="P47" s="6">
        <v>183.2</v>
      </c>
      <c r="Q47" s="6">
        <v>3.203</v>
      </c>
      <c r="R47" s="6">
        <v>15.7</v>
      </c>
      <c r="S47" s="14">
        <v>40939.0</v>
      </c>
      <c r="T47" s="11">
        <f t="shared" si="1"/>
        <v>1</v>
      </c>
      <c r="U47" s="11">
        <f t="shared" si="2"/>
        <v>2012</v>
      </c>
      <c r="V47" s="12" t="str">
        <f t="shared" si="3"/>
        <v>January</v>
      </c>
      <c r="W47" s="13">
        <f t="shared" si="4"/>
        <v>2444235640</v>
      </c>
    </row>
    <row r="48" ht="15.75" customHeight="1">
      <c r="A48" s="1" t="s">
        <v>82</v>
      </c>
      <c r="B48" s="5" t="s">
        <v>85</v>
      </c>
      <c r="C48" s="6">
        <v>35068.0</v>
      </c>
      <c r="D48" s="7">
        <v>17035.0</v>
      </c>
      <c r="E48" s="7">
        <v>8835.0</v>
      </c>
      <c r="F48" s="8">
        <v>0.52</v>
      </c>
      <c r="G48" s="1" t="s">
        <v>34</v>
      </c>
      <c r="H48" s="6">
        <v>2.5</v>
      </c>
      <c r="I48" s="6">
        <v>170.0</v>
      </c>
      <c r="J48" s="9" t="s">
        <v>26</v>
      </c>
      <c r="K48" s="9" t="s">
        <v>27</v>
      </c>
      <c r="L48" s="6">
        <v>25.0</v>
      </c>
      <c r="M48" s="6">
        <v>67.35101072</v>
      </c>
      <c r="N48" s="6">
        <v>106.5</v>
      </c>
      <c r="O48" s="6">
        <v>69.1</v>
      </c>
      <c r="P48" s="6">
        <v>184.6</v>
      </c>
      <c r="Q48" s="6">
        <v>2.769</v>
      </c>
      <c r="R48" s="6">
        <v>15.0</v>
      </c>
      <c r="S48" s="14">
        <v>41141.0</v>
      </c>
      <c r="T48" s="11">
        <f t="shared" si="1"/>
        <v>8</v>
      </c>
      <c r="U48" s="11">
        <f t="shared" si="2"/>
        <v>2012</v>
      </c>
      <c r="V48" s="12" t="str">
        <f t="shared" si="3"/>
        <v>August</v>
      </c>
      <c r="W48" s="13">
        <f t="shared" si="4"/>
        <v>597383380</v>
      </c>
    </row>
    <row r="49" ht="15.75" customHeight="1">
      <c r="A49" s="1" t="s">
        <v>82</v>
      </c>
      <c r="B49" s="5" t="s">
        <v>86</v>
      </c>
      <c r="C49" s="6">
        <v>245815.0</v>
      </c>
      <c r="D49" s="7">
        <v>17885.0</v>
      </c>
      <c r="E49" s="7">
        <v>10055.0</v>
      </c>
      <c r="F49" s="8">
        <v>0.56</v>
      </c>
      <c r="G49" s="1" t="s">
        <v>34</v>
      </c>
      <c r="H49" s="6">
        <v>3.0</v>
      </c>
      <c r="I49" s="6">
        <v>155.0</v>
      </c>
      <c r="J49" s="9" t="s">
        <v>26</v>
      </c>
      <c r="K49" s="9" t="s">
        <v>27</v>
      </c>
      <c r="L49" s="6">
        <v>24.0</v>
      </c>
      <c r="M49" s="6">
        <v>62.5037395</v>
      </c>
      <c r="N49" s="6">
        <v>108.5</v>
      </c>
      <c r="O49" s="6">
        <v>73.0</v>
      </c>
      <c r="P49" s="6">
        <v>197.6</v>
      </c>
      <c r="Q49" s="6">
        <v>3.368</v>
      </c>
      <c r="R49" s="6">
        <v>16.0</v>
      </c>
      <c r="S49" s="14">
        <v>40897.0</v>
      </c>
      <c r="T49" s="11">
        <f t="shared" si="1"/>
        <v>12</v>
      </c>
      <c r="U49" s="11">
        <f t="shared" si="2"/>
        <v>2011</v>
      </c>
      <c r="V49" s="12" t="str">
        <f t="shared" si="3"/>
        <v>December</v>
      </c>
      <c r="W49" s="13">
        <f t="shared" si="4"/>
        <v>4396401275</v>
      </c>
    </row>
    <row r="50" ht="15.75" customHeight="1">
      <c r="A50" s="1" t="s">
        <v>82</v>
      </c>
      <c r="B50" s="5" t="s">
        <v>87</v>
      </c>
      <c r="C50" s="6">
        <v>175670.0</v>
      </c>
      <c r="D50" s="7">
        <v>12315.0</v>
      </c>
      <c r="E50" s="7">
        <v>8670.0</v>
      </c>
      <c r="F50" s="8">
        <v>0.7</v>
      </c>
      <c r="G50" s="1" t="s">
        <v>25</v>
      </c>
      <c r="H50" s="6">
        <v>2.0</v>
      </c>
      <c r="I50" s="6">
        <v>107.0</v>
      </c>
      <c r="J50" s="9" t="s">
        <v>26</v>
      </c>
      <c r="K50" s="9" t="s">
        <v>27</v>
      </c>
      <c r="L50" s="6">
        <v>30.0</v>
      </c>
      <c r="M50" s="6">
        <v>43.11713201</v>
      </c>
      <c r="N50" s="6">
        <v>103.0</v>
      </c>
      <c r="O50" s="6">
        <v>66.9</v>
      </c>
      <c r="P50" s="6">
        <v>174.8</v>
      </c>
      <c r="Q50" s="6">
        <v>2.564</v>
      </c>
      <c r="R50" s="6">
        <v>13.2</v>
      </c>
      <c r="S50" s="14">
        <v>41112.0</v>
      </c>
      <c r="T50" s="11">
        <f t="shared" si="1"/>
        <v>7</v>
      </c>
      <c r="U50" s="11">
        <f t="shared" si="2"/>
        <v>2012</v>
      </c>
      <c r="V50" s="12" t="str">
        <f t="shared" si="3"/>
        <v>July</v>
      </c>
      <c r="W50" s="13">
        <f t="shared" si="4"/>
        <v>2163376050</v>
      </c>
    </row>
    <row r="51" ht="15.75" customHeight="1">
      <c r="A51" s="1" t="s">
        <v>82</v>
      </c>
      <c r="B51" s="5" t="s">
        <v>88</v>
      </c>
      <c r="C51" s="6">
        <v>63403.0</v>
      </c>
      <c r="D51" s="7">
        <v>22195.0</v>
      </c>
      <c r="E51" s="7">
        <v>14210.0</v>
      </c>
      <c r="F51" s="8">
        <v>0.64</v>
      </c>
      <c r="G51" s="1" t="s">
        <v>34</v>
      </c>
      <c r="H51" s="6">
        <v>4.6</v>
      </c>
      <c r="I51" s="6">
        <v>200.0</v>
      </c>
      <c r="J51" s="9" t="s">
        <v>26</v>
      </c>
      <c r="K51" s="9" t="s">
        <v>27</v>
      </c>
      <c r="L51" s="6">
        <v>21.0</v>
      </c>
      <c r="M51" s="6">
        <v>80.49953671</v>
      </c>
      <c r="N51" s="6">
        <v>114.7</v>
      </c>
      <c r="O51" s="6">
        <v>78.2</v>
      </c>
      <c r="P51" s="6">
        <v>212.0</v>
      </c>
      <c r="Q51" s="6">
        <v>3.908</v>
      </c>
      <c r="R51" s="6">
        <v>19.0</v>
      </c>
      <c r="S51" s="14">
        <v>40812.0</v>
      </c>
      <c r="T51" s="11">
        <f t="shared" si="1"/>
        <v>9</v>
      </c>
      <c r="U51" s="11">
        <f t="shared" si="2"/>
        <v>2011</v>
      </c>
      <c r="V51" s="12" t="str">
        <f t="shared" si="3"/>
        <v>September</v>
      </c>
      <c r="W51" s="13">
        <f t="shared" si="4"/>
        <v>1407229585</v>
      </c>
    </row>
    <row r="52" ht="15.75" customHeight="1">
      <c r="A52" s="1" t="s">
        <v>82</v>
      </c>
      <c r="B52" s="5" t="s">
        <v>89</v>
      </c>
      <c r="C52" s="6">
        <v>276747.0</v>
      </c>
      <c r="D52" s="7">
        <v>31930.0</v>
      </c>
      <c r="E52" s="7">
        <v>16640.0</v>
      </c>
      <c r="F52" s="8">
        <v>0.52</v>
      </c>
      <c r="G52" s="1" t="s">
        <v>34</v>
      </c>
      <c r="H52" s="6">
        <v>4.0</v>
      </c>
      <c r="I52" s="6">
        <v>210.0</v>
      </c>
      <c r="J52" s="9" t="s">
        <v>26</v>
      </c>
      <c r="K52" s="9" t="s">
        <v>51</v>
      </c>
      <c r="L52" s="6">
        <v>19.0</v>
      </c>
      <c r="M52" s="6">
        <v>87.63549578</v>
      </c>
      <c r="N52" s="6">
        <v>111.6</v>
      </c>
      <c r="O52" s="6">
        <v>70.2</v>
      </c>
      <c r="P52" s="6">
        <v>190.7</v>
      </c>
      <c r="Q52" s="6">
        <v>3.876</v>
      </c>
      <c r="R52" s="6">
        <v>21.0</v>
      </c>
      <c r="S52" s="14">
        <v>41024.0</v>
      </c>
      <c r="T52" s="11">
        <f t="shared" si="1"/>
        <v>4</v>
      </c>
      <c r="U52" s="11">
        <f t="shared" si="2"/>
        <v>2012</v>
      </c>
      <c r="V52" s="12" t="str">
        <f t="shared" si="3"/>
        <v>April</v>
      </c>
      <c r="W52" s="13">
        <f t="shared" si="4"/>
        <v>8836531710</v>
      </c>
    </row>
    <row r="53" ht="15.75" customHeight="1">
      <c r="A53" s="1" t="s">
        <v>82</v>
      </c>
      <c r="B53" s="5" t="s">
        <v>90</v>
      </c>
      <c r="C53" s="6">
        <v>155787.0</v>
      </c>
      <c r="D53" s="7">
        <v>21410.0</v>
      </c>
      <c r="E53" s="7">
        <v>13175.0</v>
      </c>
      <c r="F53" s="8">
        <v>0.62</v>
      </c>
      <c r="G53" s="1" t="s">
        <v>34</v>
      </c>
      <c r="H53" s="6">
        <v>3.0</v>
      </c>
      <c r="I53" s="6">
        <v>150.0</v>
      </c>
      <c r="J53" s="9" t="s">
        <v>26</v>
      </c>
      <c r="K53" s="9" t="s">
        <v>51</v>
      </c>
      <c r="L53" s="6">
        <v>21.0</v>
      </c>
      <c r="M53" s="6">
        <v>62.09504839</v>
      </c>
      <c r="N53" s="6">
        <v>120.7</v>
      </c>
      <c r="O53" s="6">
        <v>76.6</v>
      </c>
      <c r="P53" s="6">
        <v>200.9</v>
      </c>
      <c r="Q53" s="6">
        <v>3.761</v>
      </c>
      <c r="R53" s="6">
        <v>26.0</v>
      </c>
      <c r="S53" s="14">
        <v>40964.0</v>
      </c>
      <c r="T53" s="11">
        <f t="shared" si="1"/>
        <v>2</v>
      </c>
      <c r="U53" s="11">
        <f t="shared" si="2"/>
        <v>2012</v>
      </c>
      <c r="V53" s="12" t="str">
        <f t="shared" si="3"/>
        <v>February</v>
      </c>
      <c r="W53" s="13">
        <f t="shared" si="4"/>
        <v>3335399670</v>
      </c>
    </row>
    <row r="54" ht="15.75" customHeight="1">
      <c r="A54" s="1" t="s">
        <v>82</v>
      </c>
      <c r="B54" s="5" t="s">
        <v>91</v>
      </c>
      <c r="C54" s="6">
        <v>125338.0</v>
      </c>
      <c r="D54" s="7">
        <v>36135.0</v>
      </c>
      <c r="E54" s="7">
        <v>23575.0</v>
      </c>
      <c r="F54" s="8">
        <v>0.65</v>
      </c>
      <c r="G54" s="1" t="s">
        <v>34</v>
      </c>
      <c r="H54" s="6">
        <v>4.6</v>
      </c>
      <c r="I54" s="6">
        <v>240.0</v>
      </c>
      <c r="J54" s="9" t="s">
        <v>26</v>
      </c>
      <c r="K54" s="9" t="s">
        <v>51</v>
      </c>
      <c r="L54" s="6">
        <v>16.0</v>
      </c>
      <c r="M54" s="6">
        <v>100.0248023</v>
      </c>
      <c r="N54" s="6">
        <v>119.0</v>
      </c>
      <c r="O54" s="6">
        <v>78.7</v>
      </c>
      <c r="P54" s="6">
        <v>204.6</v>
      </c>
      <c r="Q54" s="6">
        <v>4.808</v>
      </c>
      <c r="R54" s="6">
        <v>26.0</v>
      </c>
      <c r="S54" s="14">
        <v>41166.0</v>
      </c>
      <c r="T54" s="11">
        <f t="shared" si="1"/>
        <v>9</v>
      </c>
      <c r="U54" s="11">
        <f t="shared" si="2"/>
        <v>2012</v>
      </c>
      <c r="V54" s="12" t="str">
        <f t="shared" si="3"/>
        <v>September</v>
      </c>
      <c r="W54" s="13">
        <f t="shared" si="4"/>
        <v>4529088630</v>
      </c>
    </row>
    <row r="55" ht="15.75" customHeight="1">
      <c r="A55" s="1" t="s">
        <v>82</v>
      </c>
      <c r="B55" s="5" t="s">
        <v>92</v>
      </c>
      <c r="C55" s="6">
        <v>220650.0</v>
      </c>
      <c r="D55" s="7">
        <v>12050.0</v>
      </c>
      <c r="E55" s="7">
        <v>7850.0</v>
      </c>
      <c r="F55" s="8">
        <v>0.65</v>
      </c>
      <c r="G55" s="1" t="s">
        <v>34</v>
      </c>
      <c r="H55" s="6">
        <v>2.5</v>
      </c>
      <c r="I55" s="6">
        <v>119.0</v>
      </c>
      <c r="J55" s="9" t="s">
        <v>26</v>
      </c>
      <c r="K55" s="9" t="s">
        <v>51</v>
      </c>
      <c r="L55" s="6">
        <v>23.0</v>
      </c>
      <c r="M55" s="6">
        <v>47.38953131</v>
      </c>
      <c r="N55" s="6">
        <v>117.5</v>
      </c>
      <c r="O55" s="6">
        <v>69.4</v>
      </c>
      <c r="P55" s="6">
        <v>200.7</v>
      </c>
      <c r="Q55" s="6">
        <v>3.086</v>
      </c>
      <c r="R55" s="6">
        <v>20.0</v>
      </c>
      <c r="S55" s="15">
        <v>40922.0</v>
      </c>
      <c r="T55" s="11">
        <f t="shared" si="1"/>
        <v>1</v>
      </c>
      <c r="U55" s="11">
        <f t="shared" si="2"/>
        <v>2012</v>
      </c>
      <c r="V55" s="12" t="str">
        <f t="shared" si="3"/>
        <v>January</v>
      </c>
      <c r="W55" s="13">
        <f t="shared" si="4"/>
        <v>2658832500</v>
      </c>
    </row>
    <row r="56" ht="15.75" customHeight="1">
      <c r="A56" s="1" t="s">
        <v>82</v>
      </c>
      <c r="B56" s="5" t="s">
        <v>93</v>
      </c>
      <c r="C56" s="6">
        <v>540561.0</v>
      </c>
      <c r="D56" s="7">
        <v>26935.0</v>
      </c>
      <c r="E56" s="7">
        <v>15075.0</v>
      </c>
      <c r="F56" s="8">
        <v>0.56</v>
      </c>
      <c r="G56" s="1" t="s">
        <v>34</v>
      </c>
      <c r="H56" s="6">
        <v>4.6</v>
      </c>
      <c r="I56" s="6">
        <v>220.0</v>
      </c>
      <c r="J56" s="9" t="s">
        <v>26</v>
      </c>
      <c r="K56" s="9" t="s">
        <v>51</v>
      </c>
      <c r="L56" s="6">
        <v>18.0</v>
      </c>
      <c r="M56" s="6">
        <v>89.40193473</v>
      </c>
      <c r="N56" s="6">
        <v>138.5</v>
      </c>
      <c r="O56" s="6">
        <v>79.1</v>
      </c>
      <c r="P56" s="6">
        <v>224.5</v>
      </c>
      <c r="Q56" s="6">
        <v>4.241</v>
      </c>
      <c r="R56" s="6">
        <v>25.1</v>
      </c>
      <c r="S56" s="15">
        <v>41137.0</v>
      </c>
      <c r="T56" s="11">
        <f t="shared" si="1"/>
        <v>8</v>
      </c>
      <c r="U56" s="11">
        <f t="shared" si="2"/>
        <v>2012</v>
      </c>
      <c r="V56" s="12" t="str">
        <f t="shared" si="3"/>
        <v>August</v>
      </c>
      <c r="W56" s="13">
        <f t="shared" si="4"/>
        <v>14560010535</v>
      </c>
    </row>
    <row r="57" ht="15.75" customHeight="1">
      <c r="A57" s="1" t="s">
        <v>94</v>
      </c>
      <c r="B57" s="5" t="s">
        <v>95</v>
      </c>
      <c r="C57" s="6">
        <v>199685.0</v>
      </c>
      <c r="D57" s="7">
        <v>12885.0</v>
      </c>
      <c r="E57" s="7">
        <v>9850.0</v>
      </c>
      <c r="F57" s="8">
        <v>0.76</v>
      </c>
      <c r="G57" s="1" t="s">
        <v>25</v>
      </c>
      <c r="H57" s="6">
        <v>1.6</v>
      </c>
      <c r="I57" s="6">
        <v>106.0</v>
      </c>
      <c r="J57" s="9" t="s">
        <v>26</v>
      </c>
      <c r="K57" s="9" t="s">
        <v>27</v>
      </c>
      <c r="L57" s="6">
        <v>32.0</v>
      </c>
      <c r="M57" s="6">
        <v>42.87909734</v>
      </c>
      <c r="N57" s="6">
        <v>103.2</v>
      </c>
      <c r="O57" s="6">
        <v>67.1</v>
      </c>
      <c r="P57" s="6">
        <v>175.1</v>
      </c>
      <c r="Q57" s="6">
        <v>2.339</v>
      </c>
      <c r="R57" s="6">
        <v>11.9</v>
      </c>
      <c r="S57" s="14">
        <v>40837.0</v>
      </c>
      <c r="T57" s="11">
        <f t="shared" si="1"/>
        <v>10</v>
      </c>
      <c r="U57" s="11">
        <f t="shared" si="2"/>
        <v>2011</v>
      </c>
      <c r="V57" s="12" t="str">
        <f t="shared" si="3"/>
        <v>October</v>
      </c>
      <c r="W57" s="13">
        <f t="shared" si="4"/>
        <v>2572941225</v>
      </c>
    </row>
    <row r="58" ht="15.75" customHeight="1">
      <c r="A58" s="1" t="s">
        <v>94</v>
      </c>
      <c r="B58" s="5" t="s">
        <v>96</v>
      </c>
      <c r="C58" s="6">
        <v>230902.0</v>
      </c>
      <c r="D58" s="7">
        <v>15350.0</v>
      </c>
      <c r="E58" s="7">
        <v>13210.0</v>
      </c>
      <c r="F58" s="8">
        <v>0.86</v>
      </c>
      <c r="G58" s="1" t="s">
        <v>25</v>
      </c>
      <c r="H58" s="6">
        <v>2.3</v>
      </c>
      <c r="I58" s="6">
        <v>135.0</v>
      </c>
      <c r="J58" s="9" t="s">
        <v>26</v>
      </c>
      <c r="K58" s="9" t="s">
        <v>27</v>
      </c>
      <c r="L58" s="6">
        <v>27.0</v>
      </c>
      <c r="M58" s="6">
        <v>54.26954829</v>
      </c>
      <c r="N58" s="6">
        <v>106.9</v>
      </c>
      <c r="O58" s="6">
        <v>70.3</v>
      </c>
      <c r="P58" s="6">
        <v>188.8</v>
      </c>
      <c r="Q58" s="6">
        <v>2.932</v>
      </c>
      <c r="R58" s="6">
        <v>17.1</v>
      </c>
      <c r="S58" s="14">
        <v>41049.0</v>
      </c>
      <c r="T58" s="11">
        <f t="shared" si="1"/>
        <v>5</v>
      </c>
      <c r="U58" s="11">
        <f t="shared" si="2"/>
        <v>2012</v>
      </c>
      <c r="V58" s="12" t="str">
        <f t="shared" si="3"/>
        <v>May</v>
      </c>
      <c r="W58" s="13">
        <f t="shared" si="4"/>
        <v>3544345700</v>
      </c>
    </row>
    <row r="59" ht="15.75" customHeight="1">
      <c r="A59" s="1" t="s">
        <v>94</v>
      </c>
      <c r="B59" s="5" t="s">
        <v>97</v>
      </c>
      <c r="C59" s="6">
        <v>73203.0</v>
      </c>
      <c r="D59" s="7">
        <v>20550.0</v>
      </c>
      <c r="E59" s="7">
        <v>17710.0</v>
      </c>
      <c r="F59" s="8">
        <v>0.86</v>
      </c>
      <c r="G59" s="1" t="s">
        <v>25</v>
      </c>
      <c r="H59" s="6">
        <v>2.0</v>
      </c>
      <c r="I59" s="6">
        <v>146.0</v>
      </c>
      <c r="J59" s="9" t="s">
        <v>26</v>
      </c>
      <c r="K59" s="9" t="s">
        <v>51</v>
      </c>
      <c r="L59" s="6">
        <v>24.0</v>
      </c>
      <c r="M59" s="6">
        <v>60.08796662</v>
      </c>
      <c r="N59" s="6">
        <v>103.2</v>
      </c>
      <c r="O59" s="6">
        <v>68.9</v>
      </c>
      <c r="P59" s="6">
        <v>177.6</v>
      </c>
      <c r="Q59" s="6">
        <v>3.219</v>
      </c>
      <c r="R59" s="6">
        <v>15.3</v>
      </c>
      <c r="S59" s="14">
        <v>40989.0</v>
      </c>
      <c r="T59" s="11">
        <f t="shared" si="1"/>
        <v>3</v>
      </c>
      <c r="U59" s="11">
        <f t="shared" si="2"/>
        <v>2012</v>
      </c>
      <c r="V59" s="12" t="str">
        <f t="shared" si="3"/>
        <v>March</v>
      </c>
      <c r="W59" s="13">
        <f t="shared" si="4"/>
        <v>1504321650</v>
      </c>
    </row>
    <row r="60" ht="15.75" customHeight="1">
      <c r="A60" s="1" t="s">
        <v>94</v>
      </c>
      <c r="B60" s="5" t="s">
        <v>98</v>
      </c>
      <c r="C60" s="6">
        <v>12855.0</v>
      </c>
      <c r="D60" s="7">
        <v>26600.0</v>
      </c>
      <c r="E60" s="7">
        <v>17525.0</v>
      </c>
      <c r="F60" s="8">
        <v>0.66</v>
      </c>
      <c r="G60" s="1" t="s">
        <v>34</v>
      </c>
      <c r="H60" s="6">
        <v>3.2</v>
      </c>
      <c r="I60" s="6">
        <v>205.0</v>
      </c>
      <c r="J60" s="9" t="s">
        <v>26</v>
      </c>
      <c r="K60" s="9" t="s">
        <v>51</v>
      </c>
      <c r="L60" s="6">
        <v>19.0</v>
      </c>
      <c r="M60" s="6">
        <v>83.6025008</v>
      </c>
      <c r="N60" s="6">
        <v>106.4</v>
      </c>
      <c r="O60" s="6">
        <v>70.4</v>
      </c>
      <c r="P60" s="6">
        <v>178.2</v>
      </c>
      <c r="Q60" s="6">
        <v>3.857</v>
      </c>
      <c r="R60" s="6">
        <v>21.1</v>
      </c>
      <c r="S60" s="10">
        <v>41191.0</v>
      </c>
      <c r="T60" s="11">
        <f t="shared" si="1"/>
        <v>10</v>
      </c>
      <c r="U60" s="11">
        <f t="shared" si="2"/>
        <v>2012</v>
      </c>
      <c r="V60" s="12" t="str">
        <f t="shared" si="3"/>
        <v>October</v>
      </c>
      <c r="W60" s="13">
        <f t="shared" si="4"/>
        <v>341943000</v>
      </c>
    </row>
    <row r="61" ht="15.75" customHeight="1">
      <c r="A61" s="1" t="s">
        <v>94</v>
      </c>
      <c r="B61" s="5" t="s">
        <v>99</v>
      </c>
      <c r="C61" s="6">
        <v>76029.0</v>
      </c>
      <c r="D61" s="7">
        <v>26000.0</v>
      </c>
      <c r="E61" s="7">
        <v>19490.0</v>
      </c>
      <c r="F61" s="8">
        <v>0.75</v>
      </c>
      <c r="G61" s="1" t="s">
        <v>25</v>
      </c>
      <c r="H61" s="6">
        <v>3.5</v>
      </c>
      <c r="I61" s="6">
        <v>210.0</v>
      </c>
      <c r="J61" s="9" t="s">
        <v>26</v>
      </c>
      <c r="K61" s="9" t="s">
        <v>51</v>
      </c>
      <c r="L61" s="6">
        <v>23.0</v>
      </c>
      <c r="M61" s="6">
        <v>85.21769134</v>
      </c>
      <c r="N61" s="6">
        <v>118.1</v>
      </c>
      <c r="O61" s="6">
        <v>75.6</v>
      </c>
      <c r="P61" s="6">
        <v>201.2</v>
      </c>
      <c r="Q61" s="6">
        <v>4.288</v>
      </c>
      <c r="R61" s="6">
        <v>20.0</v>
      </c>
      <c r="S61" s="10">
        <v>40947.0</v>
      </c>
      <c r="T61" s="11">
        <f t="shared" si="1"/>
        <v>2</v>
      </c>
      <c r="U61" s="11">
        <f t="shared" si="2"/>
        <v>2012</v>
      </c>
      <c r="V61" s="12" t="str">
        <f t="shared" si="3"/>
        <v>February</v>
      </c>
      <c r="W61" s="13">
        <f t="shared" si="4"/>
        <v>1976754000</v>
      </c>
    </row>
    <row r="62" ht="15.75" customHeight="1">
      <c r="A62" s="1" t="s">
        <v>100</v>
      </c>
      <c r="B62" s="5" t="s">
        <v>101</v>
      </c>
      <c r="C62" s="6">
        <v>41184.0</v>
      </c>
      <c r="D62" s="7">
        <v>9699.0</v>
      </c>
      <c r="E62" s="7">
        <v>5860.0</v>
      </c>
      <c r="F62" s="8">
        <v>0.6</v>
      </c>
      <c r="G62" s="1" t="s">
        <v>34</v>
      </c>
      <c r="H62" s="6">
        <v>1.5</v>
      </c>
      <c r="I62" s="6">
        <v>92.0</v>
      </c>
      <c r="J62" s="9" t="s">
        <v>61</v>
      </c>
      <c r="K62" s="9" t="s">
        <v>27</v>
      </c>
      <c r="L62" s="6">
        <v>31.0</v>
      </c>
      <c r="M62" s="6">
        <v>36.67228358</v>
      </c>
      <c r="N62" s="6">
        <v>96.1</v>
      </c>
      <c r="O62" s="6">
        <v>65.7</v>
      </c>
      <c r="P62" s="6">
        <v>166.7</v>
      </c>
      <c r="Q62" s="6">
        <v>2.24</v>
      </c>
      <c r="R62" s="6">
        <v>11.9</v>
      </c>
      <c r="S62" s="10">
        <v>41162.0</v>
      </c>
      <c r="T62" s="11">
        <f t="shared" si="1"/>
        <v>9</v>
      </c>
      <c r="U62" s="11">
        <f t="shared" si="2"/>
        <v>2012</v>
      </c>
      <c r="V62" s="12" t="str">
        <f t="shared" si="3"/>
        <v>September</v>
      </c>
      <c r="W62" s="13">
        <f t="shared" si="4"/>
        <v>399443616</v>
      </c>
    </row>
    <row r="63" ht="15.75" customHeight="1">
      <c r="A63" s="1" t="s">
        <v>100</v>
      </c>
      <c r="B63" s="5" t="s">
        <v>102</v>
      </c>
      <c r="C63" s="6">
        <v>66692.0</v>
      </c>
      <c r="D63" s="7">
        <v>11799.0</v>
      </c>
      <c r="E63" s="7">
        <v>7825.0</v>
      </c>
      <c r="F63" s="8">
        <v>0.66</v>
      </c>
      <c r="G63" s="1" t="s">
        <v>34</v>
      </c>
      <c r="H63" s="6">
        <v>2.0</v>
      </c>
      <c r="I63" s="6">
        <v>140.0</v>
      </c>
      <c r="J63" s="9" t="s">
        <v>26</v>
      </c>
      <c r="K63" s="9" t="s">
        <v>27</v>
      </c>
      <c r="L63" s="6">
        <v>27.0</v>
      </c>
      <c r="M63" s="6">
        <v>54.59004516</v>
      </c>
      <c r="N63" s="6">
        <v>100.4</v>
      </c>
      <c r="O63" s="6">
        <v>66.9</v>
      </c>
      <c r="P63" s="6">
        <v>174.0</v>
      </c>
      <c r="Q63" s="6">
        <v>2.626</v>
      </c>
      <c r="R63" s="6">
        <v>14.5</v>
      </c>
      <c r="S63" s="14">
        <v>40862.0</v>
      </c>
      <c r="T63" s="11">
        <f t="shared" si="1"/>
        <v>11</v>
      </c>
      <c r="U63" s="11">
        <f t="shared" si="2"/>
        <v>2011</v>
      </c>
      <c r="V63" s="12" t="str">
        <f t="shared" si="3"/>
        <v>November</v>
      </c>
      <c r="W63" s="13">
        <f t="shared" si="4"/>
        <v>786898908</v>
      </c>
    </row>
    <row r="64" ht="15.75" customHeight="1">
      <c r="A64" s="1" t="s">
        <v>100</v>
      </c>
      <c r="B64" s="5" t="s">
        <v>103</v>
      </c>
      <c r="C64" s="6">
        <v>29450.0</v>
      </c>
      <c r="D64" s="7">
        <v>14999.0</v>
      </c>
      <c r="E64" s="7">
        <v>8910.0</v>
      </c>
      <c r="F64" s="8">
        <v>0.59</v>
      </c>
      <c r="G64" s="1" t="s">
        <v>34</v>
      </c>
      <c r="H64" s="6">
        <v>2.4</v>
      </c>
      <c r="I64" s="6">
        <v>148.0</v>
      </c>
      <c r="J64" s="9" t="s">
        <v>26</v>
      </c>
      <c r="K64" s="9" t="s">
        <v>27</v>
      </c>
      <c r="L64" s="6">
        <v>25.0</v>
      </c>
      <c r="M64" s="6">
        <v>58.758249</v>
      </c>
      <c r="N64" s="6">
        <v>106.3</v>
      </c>
      <c r="O64" s="6">
        <v>71.6</v>
      </c>
      <c r="P64" s="6">
        <v>185.4</v>
      </c>
      <c r="Q64" s="6">
        <v>3.072</v>
      </c>
      <c r="R64" s="6">
        <v>17.2</v>
      </c>
      <c r="S64" s="14">
        <v>41074.0</v>
      </c>
      <c r="T64" s="11">
        <f t="shared" si="1"/>
        <v>6</v>
      </c>
      <c r="U64" s="11">
        <f t="shared" si="2"/>
        <v>2012</v>
      </c>
      <c r="V64" s="12" t="str">
        <f t="shared" si="3"/>
        <v>June</v>
      </c>
      <c r="W64" s="13">
        <f t="shared" si="4"/>
        <v>441720550</v>
      </c>
    </row>
    <row r="65" ht="15.75" customHeight="1">
      <c r="A65" s="1" t="s">
        <v>104</v>
      </c>
      <c r="B65" s="5" t="s">
        <v>105</v>
      </c>
      <c r="C65" s="6">
        <v>23713.0</v>
      </c>
      <c r="D65" s="7">
        <v>29465.0</v>
      </c>
      <c r="E65" s="7">
        <v>19690.0</v>
      </c>
      <c r="F65" s="8">
        <v>0.67</v>
      </c>
      <c r="G65" s="1" t="s">
        <v>34</v>
      </c>
      <c r="H65" s="6">
        <v>3.0</v>
      </c>
      <c r="I65" s="6">
        <v>227.0</v>
      </c>
      <c r="J65" s="9" t="s">
        <v>26</v>
      </c>
      <c r="K65" s="9" t="s">
        <v>27</v>
      </c>
      <c r="L65" s="6">
        <v>25.0</v>
      </c>
      <c r="M65" s="6">
        <v>92.43688923</v>
      </c>
      <c r="N65" s="6">
        <v>108.3</v>
      </c>
      <c r="O65" s="6">
        <v>70.2</v>
      </c>
      <c r="P65" s="6">
        <v>193.7</v>
      </c>
      <c r="Q65" s="6">
        <v>3.342</v>
      </c>
      <c r="R65" s="6">
        <v>18.5</v>
      </c>
      <c r="S65" s="14">
        <v>41014.0</v>
      </c>
      <c r="T65" s="11">
        <f t="shared" si="1"/>
        <v>4</v>
      </c>
      <c r="U65" s="11">
        <f t="shared" si="2"/>
        <v>2012</v>
      </c>
      <c r="V65" s="12" t="str">
        <f t="shared" si="3"/>
        <v>April</v>
      </c>
      <c r="W65" s="13">
        <f t="shared" si="4"/>
        <v>698703545</v>
      </c>
    </row>
    <row r="66" ht="15.75" customHeight="1">
      <c r="A66" s="1" t="s">
        <v>106</v>
      </c>
      <c r="B66" s="5" t="s">
        <v>107</v>
      </c>
      <c r="C66" s="6">
        <v>15467.0</v>
      </c>
      <c r="D66" s="7">
        <v>42800.0</v>
      </c>
      <c r="E66" s="7">
        <v>33219.0</v>
      </c>
      <c r="F66" s="8">
        <v>0.78</v>
      </c>
      <c r="G66" s="1" t="s">
        <v>25</v>
      </c>
      <c r="H66" s="6">
        <v>3.0</v>
      </c>
      <c r="I66" s="6">
        <v>240.0</v>
      </c>
      <c r="J66" s="9" t="s">
        <v>26</v>
      </c>
      <c r="K66" s="9" t="s">
        <v>27</v>
      </c>
      <c r="L66" s="6">
        <v>21.0</v>
      </c>
      <c r="M66" s="6">
        <v>102.1789848</v>
      </c>
      <c r="N66" s="6">
        <v>114.5</v>
      </c>
      <c r="O66" s="6">
        <v>71.6</v>
      </c>
      <c r="P66" s="6">
        <v>191.3</v>
      </c>
      <c r="Q66" s="6">
        <v>3.65</v>
      </c>
      <c r="R66" s="6">
        <v>18.4</v>
      </c>
      <c r="S66" s="10">
        <v>41216.0</v>
      </c>
      <c r="T66" s="11">
        <f t="shared" si="1"/>
        <v>11</v>
      </c>
      <c r="U66" s="11">
        <f t="shared" si="2"/>
        <v>2012</v>
      </c>
      <c r="V66" s="12" t="str">
        <f t="shared" si="3"/>
        <v>November</v>
      </c>
      <c r="W66" s="13">
        <f t="shared" si="4"/>
        <v>661987600</v>
      </c>
    </row>
    <row r="67" ht="15.75" customHeight="1">
      <c r="A67" s="1" t="s">
        <v>108</v>
      </c>
      <c r="B67" s="5" t="s">
        <v>109</v>
      </c>
      <c r="C67" s="6">
        <v>55557.0</v>
      </c>
      <c r="D67" s="7">
        <v>14460.0</v>
      </c>
      <c r="E67" s="7">
        <v>13475.0</v>
      </c>
      <c r="F67" s="8">
        <v>0.93</v>
      </c>
      <c r="G67" s="1" t="s">
        <v>25</v>
      </c>
      <c r="H67" s="6">
        <v>2.5</v>
      </c>
      <c r="I67" s="6">
        <v>120.0</v>
      </c>
      <c r="J67" s="9" t="s">
        <v>26</v>
      </c>
      <c r="K67" s="9" t="s">
        <v>51</v>
      </c>
      <c r="L67" s="6">
        <v>17.0</v>
      </c>
      <c r="M67" s="6">
        <v>48.67289791</v>
      </c>
      <c r="N67" s="6">
        <v>93.4</v>
      </c>
      <c r="O67" s="6">
        <v>66.7</v>
      </c>
      <c r="P67" s="6">
        <v>152.0</v>
      </c>
      <c r="Q67" s="6">
        <v>3.045</v>
      </c>
      <c r="R67" s="6">
        <v>19.0</v>
      </c>
      <c r="S67" s="10">
        <v>40972.0</v>
      </c>
      <c r="T67" s="11">
        <f t="shared" si="1"/>
        <v>3</v>
      </c>
      <c r="U67" s="11">
        <f t="shared" si="2"/>
        <v>2012</v>
      </c>
      <c r="V67" s="12" t="str">
        <f t="shared" si="3"/>
        <v>March</v>
      </c>
      <c r="W67" s="13">
        <f t="shared" si="4"/>
        <v>803354220</v>
      </c>
    </row>
    <row r="68" ht="15.75" customHeight="1">
      <c r="A68" s="1" t="s">
        <v>108</v>
      </c>
      <c r="B68" s="5" t="s">
        <v>110</v>
      </c>
      <c r="C68" s="6">
        <v>80556.0</v>
      </c>
      <c r="D68" s="7">
        <v>21620.0</v>
      </c>
      <c r="E68" s="7">
        <v>13775.0</v>
      </c>
      <c r="F68" s="8">
        <v>0.64</v>
      </c>
      <c r="G68" s="1" t="s">
        <v>34</v>
      </c>
      <c r="H68" s="6">
        <v>4.0</v>
      </c>
      <c r="I68" s="6">
        <v>190.0</v>
      </c>
      <c r="J68" s="9" t="s">
        <v>26</v>
      </c>
      <c r="K68" s="9" t="s">
        <v>51</v>
      </c>
      <c r="L68" s="6">
        <v>20.0</v>
      </c>
      <c r="M68" s="6">
        <v>76.58443962</v>
      </c>
      <c r="N68" s="6">
        <v>101.4</v>
      </c>
      <c r="O68" s="6">
        <v>69.4</v>
      </c>
      <c r="P68" s="6">
        <v>167.5</v>
      </c>
      <c r="Q68" s="6">
        <v>3.194</v>
      </c>
      <c r="R68" s="6">
        <v>20.0</v>
      </c>
      <c r="S68" s="10">
        <v>41187.0</v>
      </c>
      <c r="T68" s="11">
        <f t="shared" si="1"/>
        <v>10</v>
      </c>
      <c r="U68" s="11">
        <f t="shared" si="2"/>
        <v>2012</v>
      </c>
      <c r="V68" s="12" t="str">
        <f t="shared" si="3"/>
        <v>October</v>
      </c>
      <c r="W68" s="13">
        <f t="shared" si="4"/>
        <v>1741620720</v>
      </c>
    </row>
    <row r="69" ht="15.75" customHeight="1">
      <c r="A69" s="1" t="s">
        <v>108</v>
      </c>
      <c r="B69" s="5" t="s">
        <v>111</v>
      </c>
      <c r="C69" s="6">
        <v>157040.0</v>
      </c>
      <c r="D69" s="7">
        <v>26895.0</v>
      </c>
      <c r="E69" s="7">
        <v>18810.0</v>
      </c>
      <c r="F69" s="8">
        <v>0.7</v>
      </c>
      <c r="G69" s="1" t="s">
        <v>25</v>
      </c>
      <c r="H69" s="6">
        <v>4.0</v>
      </c>
      <c r="I69" s="6">
        <v>195.0</v>
      </c>
      <c r="J69" s="9" t="s">
        <v>26</v>
      </c>
      <c r="K69" s="9" t="s">
        <v>51</v>
      </c>
      <c r="L69" s="6">
        <v>19.0</v>
      </c>
      <c r="M69" s="6">
        <v>80.38777912</v>
      </c>
      <c r="N69" s="6">
        <v>105.9</v>
      </c>
      <c r="O69" s="6">
        <v>72.3</v>
      </c>
      <c r="P69" s="6">
        <v>181.5</v>
      </c>
      <c r="Q69" s="6">
        <v>3.88</v>
      </c>
      <c r="R69" s="6">
        <v>20.5</v>
      </c>
      <c r="S69" s="10">
        <v>40887.0</v>
      </c>
      <c r="T69" s="11">
        <f t="shared" si="1"/>
        <v>12</v>
      </c>
      <c r="U69" s="11">
        <f t="shared" si="2"/>
        <v>2011</v>
      </c>
      <c r="V69" s="12" t="str">
        <f t="shared" si="3"/>
        <v>December</v>
      </c>
      <c r="W69" s="13">
        <f t="shared" si="4"/>
        <v>4223590800</v>
      </c>
    </row>
    <row r="70" ht="15.75" customHeight="1">
      <c r="A70" s="1" t="s">
        <v>112</v>
      </c>
      <c r="B70" s="5" t="s">
        <v>113</v>
      </c>
      <c r="C70" s="6">
        <v>24072.0</v>
      </c>
      <c r="D70" s="7">
        <v>31505.0</v>
      </c>
      <c r="E70" s="7">
        <v>26975.0</v>
      </c>
      <c r="F70" s="8">
        <v>0.86</v>
      </c>
      <c r="G70" s="1" t="s">
        <v>25</v>
      </c>
      <c r="H70" s="6">
        <v>3.0</v>
      </c>
      <c r="I70" s="6">
        <v>210.0</v>
      </c>
      <c r="J70" s="9" t="s">
        <v>26</v>
      </c>
      <c r="K70" s="9" t="s">
        <v>27</v>
      </c>
      <c r="L70" s="6">
        <v>23.0</v>
      </c>
      <c r="M70" s="6">
        <v>87.21100104</v>
      </c>
      <c r="N70" s="6">
        <v>105.1</v>
      </c>
      <c r="O70" s="6">
        <v>70.5</v>
      </c>
      <c r="P70" s="6">
        <v>190.2</v>
      </c>
      <c r="Q70" s="6">
        <v>3.373</v>
      </c>
      <c r="R70" s="6">
        <v>18.5</v>
      </c>
      <c r="S70" s="10">
        <v>41099.0</v>
      </c>
      <c r="T70" s="11">
        <f t="shared" si="1"/>
        <v>7</v>
      </c>
      <c r="U70" s="11">
        <f t="shared" si="2"/>
        <v>2012</v>
      </c>
      <c r="V70" s="12" t="str">
        <f t="shared" si="3"/>
        <v>July</v>
      </c>
      <c r="W70" s="13">
        <f t="shared" si="4"/>
        <v>758388360</v>
      </c>
    </row>
    <row r="71" ht="15.75" customHeight="1">
      <c r="A71" s="1" t="s">
        <v>112</v>
      </c>
      <c r="B71" s="5" t="s">
        <v>114</v>
      </c>
      <c r="C71" s="6">
        <v>12698.0</v>
      </c>
      <c r="D71" s="7">
        <v>37805.0</v>
      </c>
      <c r="E71" s="7">
        <v>32075.0</v>
      </c>
      <c r="F71" s="8">
        <v>0.85</v>
      </c>
      <c r="G71" s="1" t="s">
        <v>25</v>
      </c>
      <c r="H71" s="6">
        <v>3.0</v>
      </c>
      <c r="I71" s="6">
        <v>225.0</v>
      </c>
      <c r="J71" s="9" t="s">
        <v>26</v>
      </c>
      <c r="K71" s="9" t="s">
        <v>27</v>
      </c>
      <c r="L71" s="6">
        <v>23.0</v>
      </c>
      <c r="M71" s="6">
        <v>94.9466984</v>
      </c>
      <c r="N71" s="6">
        <v>110.2</v>
      </c>
      <c r="O71" s="6">
        <v>70.9</v>
      </c>
      <c r="P71" s="6">
        <v>189.2</v>
      </c>
      <c r="Q71" s="6">
        <v>3.638</v>
      </c>
      <c r="R71" s="6">
        <v>19.8</v>
      </c>
      <c r="S71" s="10">
        <v>41039.0</v>
      </c>
      <c r="T71" s="11">
        <f t="shared" si="1"/>
        <v>5</v>
      </c>
      <c r="U71" s="11">
        <f t="shared" si="2"/>
        <v>2012</v>
      </c>
      <c r="V71" s="12" t="str">
        <f t="shared" si="3"/>
        <v>May</v>
      </c>
      <c r="W71" s="13">
        <f t="shared" si="4"/>
        <v>480047890</v>
      </c>
    </row>
    <row r="72" ht="15.75" customHeight="1">
      <c r="A72" s="1" t="s">
        <v>112</v>
      </c>
      <c r="B72" s="5" t="s">
        <v>115</v>
      </c>
      <c r="C72" s="6">
        <v>3334.0</v>
      </c>
      <c r="D72" s="7">
        <v>46305.0</v>
      </c>
      <c r="E72" s="7">
        <v>38955.0</v>
      </c>
      <c r="F72" s="8">
        <v>0.84</v>
      </c>
      <c r="G72" s="1" t="s">
        <v>25</v>
      </c>
      <c r="H72" s="6">
        <v>4.0</v>
      </c>
      <c r="I72" s="6">
        <v>300.0</v>
      </c>
      <c r="J72" s="9" t="s">
        <v>35</v>
      </c>
      <c r="K72" s="9" t="s">
        <v>27</v>
      </c>
      <c r="L72" s="6">
        <v>21.0</v>
      </c>
      <c r="M72" s="6">
        <v>125.0133574</v>
      </c>
      <c r="N72" s="6">
        <v>110.2</v>
      </c>
      <c r="O72" s="6">
        <v>70.9</v>
      </c>
      <c r="P72" s="6">
        <v>189.2</v>
      </c>
      <c r="Q72" s="6">
        <v>3.693</v>
      </c>
      <c r="R72" s="6">
        <v>19.8</v>
      </c>
      <c r="S72" s="14">
        <v>41241.0</v>
      </c>
      <c r="T72" s="11">
        <f t="shared" si="1"/>
        <v>11</v>
      </c>
      <c r="U72" s="11">
        <f t="shared" si="2"/>
        <v>2012</v>
      </c>
      <c r="V72" s="12" t="str">
        <f t="shared" si="3"/>
        <v>November</v>
      </c>
      <c r="W72" s="13">
        <f t="shared" si="4"/>
        <v>154380870</v>
      </c>
    </row>
    <row r="73" ht="15.75" customHeight="1">
      <c r="A73" s="1" t="s">
        <v>112</v>
      </c>
      <c r="B73" s="5" t="s">
        <v>116</v>
      </c>
      <c r="C73" s="6">
        <v>6375.0</v>
      </c>
      <c r="D73" s="7">
        <v>54005.0</v>
      </c>
      <c r="E73" s="7">
        <v>40375.0</v>
      </c>
      <c r="F73" s="8">
        <v>0.75</v>
      </c>
      <c r="G73" s="1" t="s">
        <v>25</v>
      </c>
      <c r="H73" s="6">
        <v>4.0</v>
      </c>
      <c r="I73" s="6">
        <v>290.0</v>
      </c>
      <c r="J73" s="9" t="s">
        <v>26</v>
      </c>
      <c r="K73" s="9" t="s">
        <v>27</v>
      </c>
      <c r="L73" s="6">
        <v>22.0</v>
      </c>
      <c r="M73" s="6">
        <v>124.4467163</v>
      </c>
      <c r="N73" s="6">
        <v>112.2</v>
      </c>
      <c r="O73" s="6">
        <v>72.0</v>
      </c>
      <c r="P73" s="6">
        <v>196.7</v>
      </c>
      <c r="Q73" s="6">
        <v>3.89</v>
      </c>
      <c r="R73" s="6">
        <v>22.5</v>
      </c>
      <c r="S73" s="14">
        <v>40997.0</v>
      </c>
      <c r="T73" s="11">
        <f t="shared" si="1"/>
        <v>3</v>
      </c>
      <c r="U73" s="11">
        <f t="shared" si="2"/>
        <v>2012</v>
      </c>
      <c r="V73" s="12" t="str">
        <f t="shared" si="3"/>
        <v>March</v>
      </c>
      <c r="W73" s="13">
        <f t="shared" si="4"/>
        <v>344281875</v>
      </c>
    </row>
    <row r="74" ht="15.75" customHeight="1">
      <c r="A74" s="1" t="s">
        <v>112</v>
      </c>
      <c r="B74" s="5" t="s">
        <v>117</v>
      </c>
      <c r="C74" s="6">
        <v>9126.0</v>
      </c>
      <c r="D74" s="7">
        <v>60105.0</v>
      </c>
      <c r="E74" s="7">
        <v>43870.0</v>
      </c>
      <c r="F74" s="8">
        <v>0.73</v>
      </c>
      <c r="G74" s="1" t="s">
        <v>25</v>
      </c>
      <c r="H74" s="6">
        <v>4.7</v>
      </c>
      <c r="I74" s="6">
        <v>230.0</v>
      </c>
      <c r="J74" s="9" t="s">
        <v>26</v>
      </c>
      <c r="K74" s="9" t="s">
        <v>51</v>
      </c>
      <c r="L74" s="6">
        <v>15.0</v>
      </c>
      <c r="M74" s="6">
        <v>105.760458</v>
      </c>
      <c r="N74" s="6">
        <v>112.2</v>
      </c>
      <c r="O74" s="6">
        <v>76.4</v>
      </c>
      <c r="P74" s="6">
        <v>192.5</v>
      </c>
      <c r="Q74" s="6">
        <v>5.401</v>
      </c>
      <c r="R74" s="6">
        <v>25.4</v>
      </c>
      <c r="S74" s="14">
        <v>41212.0</v>
      </c>
      <c r="T74" s="11">
        <f t="shared" si="1"/>
        <v>10</v>
      </c>
      <c r="U74" s="11">
        <f t="shared" si="2"/>
        <v>2012</v>
      </c>
      <c r="V74" s="12" t="str">
        <f t="shared" si="3"/>
        <v>October</v>
      </c>
      <c r="W74" s="13">
        <f t="shared" si="4"/>
        <v>548518230</v>
      </c>
    </row>
    <row r="75" ht="15.75" customHeight="1">
      <c r="A75" s="1" t="s">
        <v>112</v>
      </c>
      <c r="B75" s="5" t="s">
        <v>118</v>
      </c>
      <c r="C75" s="6">
        <v>51238.0</v>
      </c>
      <c r="D75" s="7">
        <v>34605.0</v>
      </c>
      <c r="E75" s="7">
        <v>29140.0</v>
      </c>
      <c r="F75" s="8">
        <v>0.84</v>
      </c>
      <c r="G75" s="1" t="s">
        <v>25</v>
      </c>
      <c r="H75" s="6">
        <v>3.0</v>
      </c>
      <c r="I75" s="6">
        <v>220.0</v>
      </c>
      <c r="J75" s="9" t="s">
        <v>26</v>
      </c>
      <c r="K75" s="9" t="s">
        <v>51</v>
      </c>
      <c r="L75" s="6">
        <v>21.0</v>
      </c>
      <c r="M75" s="6">
        <v>91.94380156</v>
      </c>
      <c r="N75" s="6">
        <v>103.0</v>
      </c>
      <c r="O75" s="6">
        <v>71.5</v>
      </c>
      <c r="P75" s="6">
        <v>180.1</v>
      </c>
      <c r="Q75" s="6">
        <v>3.9</v>
      </c>
      <c r="R75" s="6">
        <v>17.2</v>
      </c>
      <c r="S75" s="10">
        <v>40912.0</v>
      </c>
      <c r="T75" s="11">
        <f t="shared" si="1"/>
        <v>1</v>
      </c>
      <c r="U75" s="11">
        <f t="shared" si="2"/>
        <v>2012</v>
      </c>
      <c r="V75" s="12" t="str">
        <f t="shared" si="3"/>
        <v>January</v>
      </c>
      <c r="W75" s="13">
        <f t="shared" si="4"/>
        <v>1773090990</v>
      </c>
    </row>
    <row r="76" ht="15.75" customHeight="1">
      <c r="A76" s="1" t="s">
        <v>119</v>
      </c>
      <c r="B76" s="5" t="s">
        <v>120</v>
      </c>
      <c r="C76" s="6">
        <v>13798.0</v>
      </c>
      <c r="D76" s="7">
        <v>39080.0</v>
      </c>
      <c r="E76" s="7">
        <v>20525.0</v>
      </c>
      <c r="F76" s="8">
        <v>0.53</v>
      </c>
      <c r="G76" s="1" t="s">
        <v>34</v>
      </c>
      <c r="H76" s="6">
        <v>4.6</v>
      </c>
      <c r="I76" s="6">
        <v>275.0</v>
      </c>
      <c r="J76" s="9" t="s">
        <v>26</v>
      </c>
      <c r="K76" s="9" t="s">
        <v>27</v>
      </c>
      <c r="L76" s="6">
        <v>22.0</v>
      </c>
      <c r="M76" s="6">
        <v>113.5402069</v>
      </c>
      <c r="N76" s="6">
        <v>109.0</v>
      </c>
      <c r="O76" s="6">
        <v>73.6</v>
      </c>
      <c r="P76" s="6">
        <v>208.5</v>
      </c>
      <c r="Q76" s="6">
        <v>3.868</v>
      </c>
      <c r="R76" s="6">
        <v>20.0</v>
      </c>
      <c r="S76" s="10">
        <v>41124.0</v>
      </c>
      <c r="T76" s="11">
        <f t="shared" si="1"/>
        <v>8</v>
      </c>
      <c r="U76" s="11">
        <f t="shared" si="2"/>
        <v>2012</v>
      </c>
      <c r="V76" s="12" t="str">
        <f t="shared" si="3"/>
        <v>August</v>
      </c>
      <c r="W76" s="13">
        <f t="shared" si="4"/>
        <v>539225840</v>
      </c>
    </row>
    <row r="77" ht="15.75" customHeight="1">
      <c r="A77" s="1" t="s">
        <v>119</v>
      </c>
      <c r="B77" s="5" t="s">
        <v>121</v>
      </c>
      <c r="C77" s="6">
        <v>48911.0</v>
      </c>
      <c r="D77" s="7">
        <v>43330.0</v>
      </c>
      <c r="E77" s="7">
        <v>21725.0</v>
      </c>
      <c r="F77" s="8">
        <v>0.5</v>
      </c>
      <c r="G77" s="1" t="s">
        <v>34</v>
      </c>
      <c r="H77" s="6">
        <v>4.6</v>
      </c>
      <c r="I77" s="6">
        <v>215.0</v>
      </c>
      <c r="J77" s="9" t="s">
        <v>26</v>
      </c>
      <c r="K77" s="9" t="s">
        <v>27</v>
      </c>
      <c r="L77" s="6">
        <v>21.0</v>
      </c>
      <c r="M77" s="6">
        <v>93.9579169</v>
      </c>
      <c r="N77" s="6">
        <v>117.7</v>
      </c>
      <c r="O77" s="6">
        <v>78.2</v>
      </c>
      <c r="P77" s="6">
        <v>215.3</v>
      </c>
      <c r="Q77" s="6">
        <v>4.121</v>
      </c>
      <c r="R77" s="6">
        <v>19.0</v>
      </c>
      <c r="S77" s="10">
        <v>41064.0</v>
      </c>
      <c r="T77" s="11">
        <f t="shared" si="1"/>
        <v>6</v>
      </c>
      <c r="U77" s="11">
        <f t="shared" si="2"/>
        <v>2012</v>
      </c>
      <c r="V77" s="12" t="str">
        <f t="shared" si="3"/>
        <v>June</v>
      </c>
      <c r="W77" s="13">
        <f t="shared" si="4"/>
        <v>2119313630</v>
      </c>
    </row>
    <row r="78" ht="15.75" customHeight="1">
      <c r="A78" s="1" t="s">
        <v>119</v>
      </c>
      <c r="B78" s="5" t="s">
        <v>122</v>
      </c>
      <c r="C78" s="6">
        <v>22925.0</v>
      </c>
      <c r="D78" s="7">
        <v>42660.0</v>
      </c>
      <c r="E78" s="7">
        <v>20765.0</v>
      </c>
      <c r="F78" s="8">
        <v>0.49</v>
      </c>
      <c r="G78" s="1" t="s">
        <v>34</v>
      </c>
      <c r="H78" s="6">
        <v>5.4</v>
      </c>
      <c r="I78" s="6">
        <v>300.0</v>
      </c>
      <c r="J78" s="9" t="s">
        <v>35</v>
      </c>
      <c r="K78" s="9" t="s">
        <v>51</v>
      </c>
      <c r="L78" s="6">
        <v>15.0</v>
      </c>
      <c r="M78" s="6">
        <v>123.9720467</v>
      </c>
      <c r="N78" s="6">
        <v>119.0</v>
      </c>
      <c r="O78" s="6">
        <v>79.9</v>
      </c>
      <c r="P78" s="6">
        <v>204.8</v>
      </c>
      <c r="Q78" s="6">
        <v>5.393</v>
      </c>
      <c r="R78" s="6">
        <v>30.0</v>
      </c>
      <c r="S78" s="16">
        <v>41266.0</v>
      </c>
      <c r="T78" s="11">
        <f t="shared" si="1"/>
        <v>12</v>
      </c>
      <c r="U78" s="11">
        <f t="shared" si="2"/>
        <v>2012</v>
      </c>
      <c r="V78" s="12" t="str">
        <f t="shared" si="3"/>
        <v>December</v>
      </c>
      <c r="W78" s="13">
        <f t="shared" si="4"/>
        <v>977980500</v>
      </c>
    </row>
    <row r="79" ht="15.75" customHeight="1">
      <c r="A79" s="1" t="s">
        <v>123</v>
      </c>
      <c r="B79" s="5" t="s">
        <v>124</v>
      </c>
      <c r="C79" s="6">
        <v>26232.0</v>
      </c>
      <c r="D79" s="7">
        <v>13987.0</v>
      </c>
      <c r="E79" s="7">
        <v>8325.0</v>
      </c>
      <c r="F79" s="8">
        <v>0.6</v>
      </c>
      <c r="G79" s="1" t="s">
        <v>34</v>
      </c>
      <c r="H79" s="6">
        <v>1.8</v>
      </c>
      <c r="I79" s="6">
        <v>113.0</v>
      </c>
      <c r="J79" s="9" t="s">
        <v>26</v>
      </c>
      <c r="K79" s="9" t="s">
        <v>27</v>
      </c>
      <c r="L79" s="6">
        <v>30.0</v>
      </c>
      <c r="M79" s="6">
        <v>45.83218056</v>
      </c>
      <c r="N79" s="6">
        <v>98.4</v>
      </c>
      <c r="O79" s="6">
        <v>66.5</v>
      </c>
      <c r="P79" s="6">
        <v>173.6</v>
      </c>
      <c r="Q79" s="6">
        <v>2.25</v>
      </c>
      <c r="R79" s="6">
        <v>13.2</v>
      </c>
      <c r="S79" s="17">
        <v>41022.0</v>
      </c>
      <c r="T79" s="11">
        <f t="shared" si="1"/>
        <v>4</v>
      </c>
      <c r="U79" s="11">
        <f t="shared" si="2"/>
        <v>2012</v>
      </c>
      <c r="V79" s="12" t="str">
        <f t="shared" si="3"/>
        <v>April</v>
      </c>
      <c r="W79" s="13">
        <f t="shared" si="4"/>
        <v>366906984</v>
      </c>
    </row>
    <row r="80" ht="15.75" customHeight="1">
      <c r="A80" s="1" t="s">
        <v>123</v>
      </c>
      <c r="B80" s="5" t="s">
        <v>125</v>
      </c>
      <c r="C80" s="6">
        <v>42541.0</v>
      </c>
      <c r="D80" s="7">
        <v>19047.0</v>
      </c>
      <c r="E80" s="7">
        <v>10395.0</v>
      </c>
      <c r="F80" s="8">
        <v>0.55</v>
      </c>
      <c r="G80" s="1" t="s">
        <v>34</v>
      </c>
      <c r="H80" s="6">
        <v>2.4</v>
      </c>
      <c r="I80" s="6">
        <v>154.0</v>
      </c>
      <c r="J80" s="9" t="s">
        <v>26</v>
      </c>
      <c r="K80" s="9" t="s">
        <v>27</v>
      </c>
      <c r="L80" s="6">
        <v>24.0</v>
      </c>
      <c r="M80" s="6">
        <v>62.44196235</v>
      </c>
      <c r="N80" s="6">
        <v>100.8</v>
      </c>
      <c r="O80" s="6">
        <v>68.9</v>
      </c>
      <c r="P80" s="6">
        <v>175.4</v>
      </c>
      <c r="Q80" s="6">
        <v>2.91</v>
      </c>
      <c r="R80" s="6">
        <v>15.9</v>
      </c>
      <c r="S80" s="17">
        <v>41237.0</v>
      </c>
      <c r="T80" s="11">
        <f t="shared" si="1"/>
        <v>11</v>
      </c>
      <c r="U80" s="11">
        <f t="shared" si="2"/>
        <v>2012</v>
      </c>
      <c r="V80" s="12" t="str">
        <f t="shared" si="3"/>
        <v>November</v>
      </c>
      <c r="W80" s="13">
        <f t="shared" si="4"/>
        <v>810278427</v>
      </c>
    </row>
    <row r="81" ht="15.75" customHeight="1">
      <c r="A81" s="1" t="s">
        <v>123</v>
      </c>
      <c r="B81" s="5" t="s">
        <v>126</v>
      </c>
      <c r="C81" s="6">
        <v>55616.0</v>
      </c>
      <c r="D81" s="7">
        <v>17357.0</v>
      </c>
      <c r="E81" s="7">
        <v>10595.0</v>
      </c>
      <c r="F81" s="8">
        <v>0.61</v>
      </c>
      <c r="G81" s="1" t="s">
        <v>34</v>
      </c>
      <c r="H81" s="6">
        <v>2.4</v>
      </c>
      <c r="I81" s="6">
        <v>145.0</v>
      </c>
      <c r="J81" s="9" t="s">
        <v>26</v>
      </c>
      <c r="K81" s="9" t="s">
        <v>27</v>
      </c>
      <c r="L81" s="6">
        <v>25.0</v>
      </c>
      <c r="M81" s="6">
        <v>58.60677292</v>
      </c>
      <c r="N81" s="6">
        <v>103.7</v>
      </c>
      <c r="O81" s="6">
        <v>68.5</v>
      </c>
      <c r="P81" s="6">
        <v>187.8</v>
      </c>
      <c r="Q81" s="6">
        <v>2.945</v>
      </c>
      <c r="R81" s="6">
        <v>16.3</v>
      </c>
      <c r="S81" s="17">
        <v>40937.0</v>
      </c>
      <c r="T81" s="11">
        <f t="shared" si="1"/>
        <v>1</v>
      </c>
      <c r="U81" s="11">
        <f t="shared" si="2"/>
        <v>2012</v>
      </c>
      <c r="V81" s="12" t="str">
        <f t="shared" si="3"/>
        <v>January</v>
      </c>
      <c r="W81" s="13">
        <f t="shared" si="4"/>
        <v>965326912</v>
      </c>
    </row>
    <row r="82" ht="15.75" customHeight="1">
      <c r="A82" s="1" t="s">
        <v>123</v>
      </c>
      <c r="B82" s="5" t="s">
        <v>127</v>
      </c>
      <c r="C82" s="6">
        <v>5711.0</v>
      </c>
      <c r="D82" s="7">
        <v>24997.0</v>
      </c>
      <c r="E82" s="7">
        <v>16575.0</v>
      </c>
      <c r="F82" s="8">
        <v>0.66</v>
      </c>
      <c r="G82" s="1" t="s">
        <v>34</v>
      </c>
      <c r="H82" s="6">
        <v>3.5</v>
      </c>
      <c r="I82" s="6">
        <v>210.0</v>
      </c>
      <c r="J82" s="9" t="s">
        <v>26</v>
      </c>
      <c r="K82" s="9" t="s">
        <v>27</v>
      </c>
      <c r="L82" s="6">
        <v>22.0</v>
      </c>
      <c r="M82" s="6">
        <v>84.83077858</v>
      </c>
      <c r="N82" s="6">
        <v>107.1</v>
      </c>
      <c r="O82" s="6">
        <v>70.3</v>
      </c>
      <c r="P82" s="6">
        <v>194.1</v>
      </c>
      <c r="Q82" s="6">
        <v>3.443</v>
      </c>
      <c r="R82" s="6">
        <v>19.0</v>
      </c>
      <c r="S82" s="17">
        <v>41149.0</v>
      </c>
      <c r="T82" s="11">
        <f t="shared" si="1"/>
        <v>8</v>
      </c>
      <c r="U82" s="11">
        <f t="shared" si="2"/>
        <v>2012</v>
      </c>
      <c r="V82" s="12" t="str">
        <f t="shared" si="3"/>
        <v>August</v>
      </c>
      <c r="W82" s="13">
        <f t="shared" si="4"/>
        <v>142757867</v>
      </c>
    </row>
    <row r="83" ht="15.75" customHeight="1">
      <c r="A83" s="1" t="s">
        <v>123</v>
      </c>
      <c r="B83" s="5" t="s">
        <v>128</v>
      </c>
      <c r="C83" s="6">
        <v>110.0</v>
      </c>
      <c r="D83" s="7">
        <v>25450.0</v>
      </c>
      <c r="E83" s="7">
        <v>20940.0</v>
      </c>
      <c r="F83" s="8">
        <v>0.82</v>
      </c>
      <c r="G83" s="1" t="s">
        <v>25</v>
      </c>
      <c r="H83" s="6">
        <v>3.0</v>
      </c>
      <c r="I83" s="6">
        <v>161.0</v>
      </c>
      <c r="J83" s="9" t="s">
        <v>26</v>
      </c>
      <c r="K83" s="9" t="s">
        <v>27</v>
      </c>
      <c r="L83" s="6">
        <v>21.0</v>
      </c>
      <c r="M83" s="6">
        <v>67.54415494</v>
      </c>
      <c r="N83" s="6">
        <v>97.2</v>
      </c>
      <c r="O83" s="6">
        <v>72.4</v>
      </c>
      <c r="P83" s="6">
        <v>180.3</v>
      </c>
      <c r="Q83" s="6">
        <v>3.131</v>
      </c>
      <c r="R83" s="6">
        <v>19.8</v>
      </c>
      <c r="S83" s="15">
        <v>41089.0</v>
      </c>
      <c r="T83" s="11">
        <f t="shared" si="1"/>
        <v>6</v>
      </c>
      <c r="U83" s="11">
        <f t="shared" si="2"/>
        <v>2012</v>
      </c>
      <c r="V83" s="12" t="str">
        <f t="shared" si="3"/>
        <v>June</v>
      </c>
      <c r="W83" s="13">
        <f t="shared" si="4"/>
        <v>2799500</v>
      </c>
    </row>
    <row r="84" ht="15.75" customHeight="1">
      <c r="A84" s="1" t="s">
        <v>123</v>
      </c>
      <c r="B84" s="5" t="s">
        <v>129</v>
      </c>
      <c r="C84" s="6">
        <v>11337.0</v>
      </c>
      <c r="D84" s="7">
        <v>31807.0</v>
      </c>
      <c r="E84" s="7">
        <v>19125.0</v>
      </c>
      <c r="F84" s="8">
        <v>0.6</v>
      </c>
      <c r="G84" s="1" t="s">
        <v>34</v>
      </c>
      <c r="H84" s="6">
        <v>3.5</v>
      </c>
      <c r="I84" s="6">
        <v>200.0</v>
      </c>
      <c r="J84" s="9" t="s">
        <v>26</v>
      </c>
      <c r="K84" s="9" t="s">
        <v>51</v>
      </c>
      <c r="L84" s="6">
        <v>18.0</v>
      </c>
      <c r="M84" s="6">
        <v>83.92081504</v>
      </c>
      <c r="N84" s="6">
        <v>107.3</v>
      </c>
      <c r="O84" s="6">
        <v>69.9</v>
      </c>
      <c r="P84" s="6">
        <v>186.6</v>
      </c>
      <c r="Q84" s="6">
        <v>4.52</v>
      </c>
      <c r="R84" s="6">
        <v>24.3</v>
      </c>
      <c r="S84" s="15">
        <v>40925.0</v>
      </c>
      <c r="T84" s="11">
        <f t="shared" si="1"/>
        <v>1</v>
      </c>
      <c r="U84" s="11">
        <f t="shared" si="2"/>
        <v>2012</v>
      </c>
      <c r="V84" s="12" t="str">
        <f t="shared" si="3"/>
        <v>January</v>
      </c>
      <c r="W84" s="13">
        <f t="shared" si="4"/>
        <v>360595959</v>
      </c>
    </row>
    <row r="85" ht="15.75" customHeight="1">
      <c r="A85" s="1" t="s">
        <v>123</v>
      </c>
      <c r="B85" s="5" t="s">
        <v>130</v>
      </c>
      <c r="C85" s="6">
        <v>39348.0</v>
      </c>
      <c r="D85" s="7">
        <v>22527.0</v>
      </c>
      <c r="E85" s="7">
        <v>13880.0</v>
      </c>
      <c r="F85" s="8">
        <v>0.62</v>
      </c>
      <c r="G85" s="1" t="s">
        <v>34</v>
      </c>
      <c r="H85" s="6">
        <v>3.0</v>
      </c>
      <c r="I85" s="6">
        <v>173.0</v>
      </c>
      <c r="J85" s="9" t="s">
        <v>26</v>
      </c>
      <c r="K85" s="9" t="s">
        <v>51</v>
      </c>
      <c r="L85" s="6">
        <v>20.0</v>
      </c>
      <c r="M85" s="6">
        <v>70.66094179</v>
      </c>
      <c r="N85" s="6">
        <v>107.3</v>
      </c>
      <c r="O85" s="6">
        <v>66.7</v>
      </c>
      <c r="P85" s="6">
        <v>178.3</v>
      </c>
      <c r="Q85" s="6">
        <v>3.51</v>
      </c>
      <c r="R85" s="6">
        <v>19.5</v>
      </c>
      <c r="S85" s="15">
        <v>41047.0</v>
      </c>
      <c r="T85" s="11">
        <f t="shared" si="1"/>
        <v>5</v>
      </c>
      <c r="U85" s="11">
        <f t="shared" si="2"/>
        <v>2012</v>
      </c>
      <c r="V85" s="12" t="str">
        <f t="shared" si="3"/>
        <v>May</v>
      </c>
      <c r="W85" s="13">
        <f t="shared" si="4"/>
        <v>886392396</v>
      </c>
    </row>
    <row r="86" ht="15.75" customHeight="1">
      <c r="A86" s="1" t="s">
        <v>131</v>
      </c>
      <c r="B86" s="5" t="s">
        <v>132</v>
      </c>
      <c r="C86" s="6">
        <v>14351.0</v>
      </c>
      <c r="D86" s="7">
        <v>16240.0</v>
      </c>
      <c r="E86" s="7">
        <v>8800.0</v>
      </c>
      <c r="F86" s="8">
        <v>0.54</v>
      </c>
      <c r="G86" s="1" t="s">
        <v>34</v>
      </c>
      <c r="H86" s="6">
        <v>2.0</v>
      </c>
      <c r="I86" s="6">
        <v>125.0</v>
      </c>
      <c r="J86" s="9" t="s">
        <v>26</v>
      </c>
      <c r="K86" s="9" t="s">
        <v>27</v>
      </c>
      <c r="L86" s="6">
        <v>28.0</v>
      </c>
      <c r="M86" s="6">
        <v>50.99774761</v>
      </c>
      <c r="N86" s="6">
        <v>106.5</v>
      </c>
      <c r="O86" s="6">
        <v>69.1</v>
      </c>
      <c r="P86" s="6">
        <v>184.8</v>
      </c>
      <c r="Q86" s="6">
        <v>2.769</v>
      </c>
      <c r="R86" s="6">
        <v>15.0</v>
      </c>
      <c r="S86" s="14">
        <v>41262.0</v>
      </c>
      <c r="T86" s="11">
        <f t="shared" si="1"/>
        <v>12</v>
      </c>
      <c r="U86" s="11">
        <f t="shared" si="2"/>
        <v>2012</v>
      </c>
      <c r="V86" s="12" t="str">
        <f t="shared" si="3"/>
        <v>December</v>
      </c>
      <c r="W86" s="13">
        <f t="shared" si="4"/>
        <v>233060240</v>
      </c>
    </row>
    <row r="87" ht="15.75" customHeight="1">
      <c r="A87" s="1" t="s">
        <v>131</v>
      </c>
      <c r="B87" s="5" t="s">
        <v>133</v>
      </c>
      <c r="C87" s="6">
        <v>26529.0</v>
      </c>
      <c r="D87" s="7">
        <v>16540.0</v>
      </c>
      <c r="E87" s="7">
        <v>13890.0</v>
      </c>
      <c r="F87" s="8">
        <v>0.84</v>
      </c>
      <c r="G87" s="1" t="s">
        <v>25</v>
      </c>
      <c r="H87" s="6">
        <v>2.0</v>
      </c>
      <c r="I87" s="6">
        <v>125.0</v>
      </c>
      <c r="J87" s="9" t="s">
        <v>26</v>
      </c>
      <c r="K87" s="9" t="s">
        <v>27</v>
      </c>
      <c r="L87" s="6">
        <v>30.0</v>
      </c>
      <c r="M87" s="6">
        <v>51.11347426</v>
      </c>
      <c r="N87" s="6">
        <v>106.4</v>
      </c>
      <c r="O87" s="6">
        <v>69.6</v>
      </c>
      <c r="P87" s="6">
        <v>185.0</v>
      </c>
      <c r="Q87" s="6">
        <v>2.892</v>
      </c>
      <c r="R87" s="6">
        <v>16.0</v>
      </c>
      <c r="S87" s="14">
        <v>40962.0</v>
      </c>
      <c r="T87" s="11">
        <f t="shared" si="1"/>
        <v>2</v>
      </c>
      <c r="U87" s="11">
        <f t="shared" si="2"/>
        <v>2012</v>
      </c>
      <c r="V87" s="12" t="str">
        <f t="shared" si="3"/>
        <v>February</v>
      </c>
      <c r="W87" s="13">
        <f t="shared" si="4"/>
        <v>438789660</v>
      </c>
    </row>
    <row r="88" ht="15.75" customHeight="1">
      <c r="A88" s="1" t="s">
        <v>131</v>
      </c>
      <c r="B88" s="5" t="s">
        <v>134</v>
      </c>
      <c r="C88" s="6">
        <v>67956.0</v>
      </c>
      <c r="D88" s="7">
        <v>19035.0</v>
      </c>
      <c r="E88" s="7">
        <v>11030.0</v>
      </c>
      <c r="F88" s="8">
        <v>0.58</v>
      </c>
      <c r="G88" s="1" t="s">
        <v>34</v>
      </c>
      <c r="H88" s="6">
        <v>3.0</v>
      </c>
      <c r="I88" s="6">
        <v>153.0</v>
      </c>
      <c r="J88" s="9" t="s">
        <v>26</v>
      </c>
      <c r="K88" s="9" t="s">
        <v>27</v>
      </c>
      <c r="L88" s="6">
        <v>24.0</v>
      </c>
      <c r="M88" s="6">
        <v>62.23996663</v>
      </c>
      <c r="N88" s="6">
        <v>108.5</v>
      </c>
      <c r="O88" s="6">
        <v>73.0</v>
      </c>
      <c r="P88" s="6">
        <v>199.7</v>
      </c>
      <c r="Q88" s="6">
        <v>3.379</v>
      </c>
      <c r="R88" s="6">
        <v>16.0</v>
      </c>
      <c r="S88" s="14">
        <v>41174.0</v>
      </c>
      <c r="T88" s="11">
        <f t="shared" si="1"/>
        <v>9</v>
      </c>
      <c r="U88" s="11">
        <f t="shared" si="2"/>
        <v>2012</v>
      </c>
      <c r="V88" s="12" t="str">
        <f t="shared" si="3"/>
        <v>September</v>
      </c>
      <c r="W88" s="13">
        <f t="shared" si="4"/>
        <v>1293542460</v>
      </c>
    </row>
    <row r="89" ht="15.75" customHeight="1">
      <c r="A89" s="1" t="s">
        <v>131</v>
      </c>
      <c r="B89" s="5" t="s">
        <v>135</v>
      </c>
      <c r="C89" s="6">
        <v>81174.0</v>
      </c>
      <c r="D89" s="7">
        <v>22605.0</v>
      </c>
      <c r="E89" s="7">
        <v>14875.0</v>
      </c>
      <c r="F89" s="8">
        <v>0.66</v>
      </c>
      <c r="G89" s="1" t="s">
        <v>34</v>
      </c>
      <c r="H89" s="6">
        <v>4.6</v>
      </c>
      <c r="I89" s="6">
        <v>200.0</v>
      </c>
      <c r="J89" s="9" t="s">
        <v>26</v>
      </c>
      <c r="K89" s="9" t="s">
        <v>27</v>
      </c>
      <c r="L89" s="6">
        <v>21.0</v>
      </c>
      <c r="M89" s="6">
        <v>80.65769646</v>
      </c>
      <c r="N89" s="6">
        <v>114.7</v>
      </c>
      <c r="O89" s="6">
        <v>78.2</v>
      </c>
      <c r="P89" s="6">
        <v>212.0</v>
      </c>
      <c r="Q89" s="6">
        <v>3.958</v>
      </c>
      <c r="R89" s="6">
        <v>19.0</v>
      </c>
      <c r="S89" s="14">
        <v>41114.0</v>
      </c>
      <c r="T89" s="11">
        <f t="shared" si="1"/>
        <v>7</v>
      </c>
      <c r="U89" s="11">
        <f t="shared" si="2"/>
        <v>2012</v>
      </c>
      <c r="V89" s="12" t="str">
        <f t="shared" si="3"/>
        <v>July</v>
      </c>
      <c r="W89" s="13">
        <f t="shared" si="4"/>
        <v>1834938270</v>
      </c>
    </row>
    <row r="90" ht="15.75" customHeight="1">
      <c r="A90" s="1" t="s">
        <v>131</v>
      </c>
      <c r="B90" s="5" t="s">
        <v>136</v>
      </c>
      <c r="C90" s="6">
        <v>27609.0</v>
      </c>
      <c r="D90" s="7">
        <v>27560.0</v>
      </c>
      <c r="E90" s="7">
        <v>20430.0</v>
      </c>
      <c r="F90" s="8">
        <v>0.74</v>
      </c>
      <c r="G90" s="1" t="s">
        <v>25</v>
      </c>
      <c r="H90" s="6">
        <v>4.0</v>
      </c>
      <c r="I90" s="6">
        <v>210.0</v>
      </c>
      <c r="J90" s="9" t="s">
        <v>26</v>
      </c>
      <c r="K90" s="9" t="s">
        <v>51</v>
      </c>
      <c r="L90" s="6">
        <v>18.0</v>
      </c>
      <c r="M90" s="6">
        <v>85.94974425</v>
      </c>
      <c r="N90" s="6">
        <v>111.6</v>
      </c>
      <c r="O90" s="6">
        <v>70.2</v>
      </c>
      <c r="P90" s="6">
        <v>190.1</v>
      </c>
      <c r="Q90" s="6">
        <v>3.876</v>
      </c>
      <c r="R90" s="6">
        <v>21.0</v>
      </c>
      <c r="S90" s="15">
        <v>39491.0</v>
      </c>
      <c r="T90" s="11">
        <f t="shared" si="1"/>
        <v>2</v>
      </c>
      <c r="U90" s="11">
        <f t="shared" si="2"/>
        <v>2008</v>
      </c>
      <c r="V90" s="12" t="str">
        <f t="shared" si="3"/>
        <v>February</v>
      </c>
      <c r="W90" s="13">
        <f t="shared" si="4"/>
        <v>760904040</v>
      </c>
    </row>
    <row r="91" ht="15.75" customHeight="1">
      <c r="A91" s="1" t="s">
        <v>131</v>
      </c>
      <c r="B91" s="5" t="s">
        <v>137</v>
      </c>
      <c r="C91" s="6">
        <v>20380.0</v>
      </c>
      <c r="D91" s="7">
        <v>22510.0</v>
      </c>
      <c r="E91" s="7">
        <v>14795.0</v>
      </c>
      <c r="F91" s="8">
        <v>0.66</v>
      </c>
      <c r="G91" s="1" t="s">
        <v>34</v>
      </c>
      <c r="H91" s="6">
        <v>3.3</v>
      </c>
      <c r="I91" s="6">
        <v>170.0</v>
      </c>
      <c r="J91" s="9" t="s">
        <v>26</v>
      </c>
      <c r="K91" s="9" t="s">
        <v>51</v>
      </c>
      <c r="L91" s="6">
        <v>21.0</v>
      </c>
      <c r="M91" s="6">
        <v>69.671461</v>
      </c>
      <c r="N91" s="6">
        <v>112.2</v>
      </c>
      <c r="O91" s="6">
        <v>74.9</v>
      </c>
      <c r="P91" s="6">
        <v>194.7</v>
      </c>
      <c r="Q91" s="6">
        <v>3.944</v>
      </c>
      <c r="R91" s="6">
        <v>20.0</v>
      </c>
      <c r="S91" s="15">
        <v>40106.0</v>
      </c>
      <c r="T91" s="11">
        <f t="shared" si="1"/>
        <v>10</v>
      </c>
      <c r="U91" s="11">
        <f t="shared" si="2"/>
        <v>2009</v>
      </c>
      <c r="V91" s="12" t="str">
        <f t="shared" si="3"/>
        <v>October</v>
      </c>
      <c r="W91" s="13">
        <f t="shared" si="4"/>
        <v>458753800</v>
      </c>
    </row>
    <row r="92" ht="15.75" customHeight="1">
      <c r="A92" s="1" t="s">
        <v>138</v>
      </c>
      <c r="B92" s="5" t="s">
        <v>139</v>
      </c>
      <c r="C92" s="6">
        <v>18392.0</v>
      </c>
      <c r="D92" s="7">
        <v>31750.0</v>
      </c>
      <c r="E92" s="7">
        <v>26050.0</v>
      </c>
      <c r="F92" s="8">
        <v>0.82</v>
      </c>
      <c r="G92" s="1" t="s">
        <v>25</v>
      </c>
      <c r="H92" s="6">
        <v>2.3</v>
      </c>
      <c r="I92" s="6">
        <v>185.0</v>
      </c>
      <c r="J92" s="9" t="s">
        <v>26</v>
      </c>
      <c r="K92" s="9" t="s">
        <v>27</v>
      </c>
      <c r="L92" s="6">
        <v>26.0</v>
      </c>
      <c r="M92" s="6">
        <v>78.28073088</v>
      </c>
      <c r="N92" s="6">
        <v>105.9</v>
      </c>
      <c r="O92" s="6">
        <v>67.7</v>
      </c>
      <c r="P92" s="6">
        <v>177.4</v>
      </c>
      <c r="Q92" s="6">
        <v>3.25</v>
      </c>
      <c r="R92" s="6">
        <v>16.4</v>
      </c>
      <c r="S92" s="14">
        <v>40657.0</v>
      </c>
      <c r="T92" s="11">
        <f t="shared" si="1"/>
        <v>4</v>
      </c>
      <c r="U92" s="11">
        <f t="shared" si="2"/>
        <v>2011</v>
      </c>
      <c r="V92" s="12" t="str">
        <f t="shared" si="3"/>
        <v>April</v>
      </c>
      <c r="W92" s="13">
        <f t="shared" si="4"/>
        <v>583946000</v>
      </c>
    </row>
    <row r="93" ht="15.75" customHeight="1">
      <c r="A93" s="1" t="s">
        <v>138</v>
      </c>
      <c r="B93" s="5" t="s">
        <v>140</v>
      </c>
      <c r="C93" s="6">
        <v>27602.0</v>
      </c>
      <c r="D93" s="7">
        <v>49900.0</v>
      </c>
      <c r="E93" s="7">
        <v>41450.0</v>
      </c>
      <c r="F93" s="8">
        <v>0.83</v>
      </c>
      <c r="G93" s="1" t="s">
        <v>25</v>
      </c>
      <c r="H93" s="6">
        <v>3.2</v>
      </c>
      <c r="I93" s="6">
        <v>221.0</v>
      </c>
      <c r="J93" s="9" t="s">
        <v>26</v>
      </c>
      <c r="K93" s="9" t="s">
        <v>27</v>
      </c>
      <c r="L93" s="6">
        <v>25.0</v>
      </c>
      <c r="M93" s="6">
        <v>98.2497375</v>
      </c>
      <c r="N93" s="6">
        <v>111.5</v>
      </c>
      <c r="O93" s="6">
        <v>70.8</v>
      </c>
      <c r="P93" s="6">
        <v>189.4</v>
      </c>
      <c r="Q93" s="6">
        <v>3.823</v>
      </c>
      <c r="R93" s="6">
        <v>21.1</v>
      </c>
      <c r="S93" s="10">
        <v>40736.0</v>
      </c>
      <c r="T93" s="11">
        <f t="shared" si="1"/>
        <v>7</v>
      </c>
      <c r="U93" s="11">
        <f t="shared" si="2"/>
        <v>2011</v>
      </c>
      <c r="V93" s="12" t="str">
        <f t="shared" si="3"/>
        <v>July</v>
      </c>
      <c r="W93" s="13">
        <f t="shared" si="4"/>
        <v>1377339800</v>
      </c>
    </row>
    <row r="94" ht="15.75" customHeight="1">
      <c r="A94" s="1" t="s">
        <v>138</v>
      </c>
      <c r="B94" s="5" t="s">
        <v>141</v>
      </c>
      <c r="C94" s="6">
        <v>16774.0</v>
      </c>
      <c r="D94" s="7">
        <v>69700.0</v>
      </c>
      <c r="E94" s="7">
        <v>50375.0</v>
      </c>
      <c r="F94" s="8">
        <v>0.72</v>
      </c>
      <c r="G94" s="1" t="s">
        <v>25</v>
      </c>
      <c r="H94" s="6">
        <v>4.3</v>
      </c>
      <c r="I94" s="6">
        <v>275.0</v>
      </c>
      <c r="J94" s="9" t="s">
        <v>26</v>
      </c>
      <c r="K94" s="9" t="s">
        <v>27</v>
      </c>
      <c r="L94" s="6">
        <v>21.0</v>
      </c>
      <c r="M94" s="6">
        <v>125.2738757</v>
      </c>
      <c r="N94" s="6">
        <v>121.5</v>
      </c>
      <c r="O94" s="6">
        <v>73.1</v>
      </c>
      <c r="P94" s="6">
        <v>203.1</v>
      </c>
      <c r="Q94" s="6">
        <v>4.133</v>
      </c>
      <c r="R94" s="6">
        <v>23.2</v>
      </c>
      <c r="S94" s="14">
        <v>40707.0</v>
      </c>
      <c r="T94" s="11">
        <f t="shared" si="1"/>
        <v>6</v>
      </c>
      <c r="U94" s="11">
        <f t="shared" si="2"/>
        <v>2011</v>
      </c>
      <c r="V94" s="12" t="str">
        <f t="shared" si="3"/>
        <v>June</v>
      </c>
      <c r="W94" s="13">
        <f t="shared" si="4"/>
        <v>1169147800</v>
      </c>
    </row>
    <row r="95" ht="15.75" customHeight="1">
      <c r="A95" s="1" t="s">
        <v>138</v>
      </c>
      <c r="B95" s="5" t="s">
        <v>142</v>
      </c>
      <c r="C95" s="6">
        <v>3311.0</v>
      </c>
      <c r="D95" s="7">
        <v>82600.0</v>
      </c>
      <c r="E95" s="7">
        <v>58600.0</v>
      </c>
      <c r="F95" s="8">
        <v>0.71</v>
      </c>
      <c r="G95" s="1" t="s">
        <v>25</v>
      </c>
      <c r="H95" s="6">
        <v>5.0</v>
      </c>
      <c r="I95" s="6">
        <v>302.0</v>
      </c>
      <c r="J95" s="9" t="s">
        <v>35</v>
      </c>
      <c r="K95" s="9" t="s">
        <v>27</v>
      </c>
      <c r="L95" s="6">
        <v>20.0</v>
      </c>
      <c r="M95" s="6">
        <v>139.9822936</v>
      </c>
      <c r="N95" s="6">
        <v>99.0</v>
      </c>
      <c r="O95" s="6">
        <v>71.3</v>
      </c>
      <c r="P95" s="6">
        <v>177.1</v>
      </c>
      <c r="Q95" s="6">
        <v>4.125</v>
      </c>
      <c r="R95" s="6">
        <v>21.1</v>
      </c>
      <c r="S95" s="15">
        <v>40619.0</v>
      </c>
      <c r="T95" s="11">
        <f t="shared" si="1"/>
        <v>3</v>
      </c>
      <c r="U95" s="11">
        <f t="shared" si="2"/>
        <v>2011</v>
      </c>
      <c r="V95" s="12" t="str">
        <f t="shared" si="3"/>
        <v>March</v>
      </c>
      <c r="W95" s="13">
        <f t="shared" si="4"/>
        <v>273488600</v>
      </c>
    </row>
    <row r="96" ht="15.75" customHeight="1">
      <c r="A96" s="1" t="s">
        <v>138</v>
      </c>
      <c r="B96" s="5" t="s">
        <v>143</v>
      </c>
      <c r="C96" s="6">
        <v>7998.0</v>
      </c>
      <c r="D96" s="7">
        <v>38900.0</v>
      </c>
      <c r="E96" s="7">
        <v>32436.0</v>
      </c>
      <c r="F96" s="8">
        <v>0.83</v>
      </c>
      <c r="G96" s="1" t="s">
        <v>25</v>
      </c>
      <c r="H96" s="6">
        <v>2.3</v>
      </c>
      <c r="I96" s="6">
        <v>190.0</v>
      </c>
      <c r="J96" s="9" t="s">
        <v>26</v>
      </c>
      <c r="K96" s="9" t="s">
        <v>27</v>
      </c>
      <c r="L96" s="6">
        <v>26.0</v>
      </c>
      <c r="M96" s="6">
        <v>82.80736193</v>
      </c>
      <c r="N96" s="6">
        <v>94.5</v>
      </c>
      <c r="O96" s="6">
        <v>67.5</v>
      </c>
      <c r="P96" s="6">
        <v>157.9</v>
      </c>
      <c r="Q96" s="6">
        <v>3.055</v>
      </c>
      <c r="R96" s="6">
        <v>15.9</v>
      </c>
      <c r="S96" s="14">
        <v>40559.0</v>
      </c>
      <c r="T96" s="11">
        <f t="shared" si="1"/>
        <v>1</v>
      </c>
      <c r="U96" s="11">
        <f t="shared" si="2"/>
        <v>2011</v>
      </c>
      <c r="V96" s="12" t="str">
        <f t="shared" si="3"/>
        <v>January</v>
      </c>
      <c r="W96" s="13">
        <f t="shared" si="4"/>
        <v>311122200</v>
      </c>
    </row>
    <row r="97" ht="15.75" customHeight="1">
      <c r="A97" s="1" t="s">
        <v>138</v>
      </c>
      <c r="B97" s="5" t="s">
        <v>144</v>
      </c>
      <c r="C97" s="6">
        <v>1526.0</v>
      </c>
      <c r="D97" s="7">
        <v>41000.0</v>
      </c>
      <c r="E97" s="7">
        <v>28635.0</v>
      </c>
      <c r="F97" s="8">
        <v>0.7</v>
      </c>
      <c r="G97" s="1" t="s">
        <v>25</v>
      </c>
      <c r="H97" s="6">
        <v>2.3</v>
      </c>
      <c r="I97" s="6">
        <v>185.0</v>
      </c>
      <c r="J97" s="9" t="s">
        <v>26</v>
      </c>
      <c r="K97" s="9" t="s">
        <v>27</v>
      </c>
      <c r="L97" s="6">
        <v>27.0</v>
      </c>
      <c r="M97" s="6">
        <v>81.84896924</v>
      </c>
      <c r="N97" s="6">
        <v>94.5</v>
      </c>
      <c r="O97" s="6">
        <v>67.5</v>
      </c>
      <c r="P97" s="6">
        <v>157.3</v>
      </c>
      <c r="Q97" s="6">
        <v>2.975</v>
      </c>
      <c r="R97" s="6">
        <v>14.0</v>
      </c>
      <c r="S97" s="10">
        <v>40761.0</v>
      </c>
      <c r="T97" s="11">
        <f t="shared" si="1"/>
        <v>8</v>
      </c>
      <c r="U97" s="11">
        <f t="shared" si="2"/>
        <v>2011</v>
      </c>
      <c r="V97" s="12" t="str">
        <f t="shared" si="3"/>
        <v>August</v>
      </c>
      <c r="W97" s="13">
        <f t="shared" si="4"/>
        <v>62566000</v>
      </c>
    </row>
    <row r="98" ht="15.75" customHeight="1">
      <c r="A98" s="1" t="s">
        <v>138</v>
      </c>
      <c r="B98" s="5" t="s">
        <v>145</v>
      </c>
      <c r="C98" s="6">
        <v>11592.0</v>
      </c>
      <c r="D98" s="7">
        <v>41600.0</v>
      </c>
      <c r="E98" s="7">
        <v>29200.0</v>
      </c>
      <c r="F98" s="8">
        <v>0.7</v>
      </c>
      <c r="G98" s="1" t="s">
        <v>25</v>
      </c>
      <c r="H98" s="6">
        <v>3.2</v>
      </c>
      <c r="I98" s="6">
        <v>215.0</v>
      </c>
      <c r="J98" s="9" t="s">
        <v>26</v>
      </c>
      <c r="K98" s="9" t="s">
        <v>27</v>
      </c>
      <c r="L98" s="6">
        <v>26.0</v>
      </c>
      <c r="M98" s="6">
        <v>92.92579177</v>
      </c>
      <c r="N98" s="6">
        <v>105.9</v>
      </c>
      <c r="O98" s="6">
        <v>67.8</v>
      </c>
      <c r="P98" s="6">
        <v>180.3</v>
      </c>
      <c r="Q98" s="6">
        <v>3.213</v>
      </c>
      <c r="R98" s="6">
        <v>16.4</v>
      </c>
      <c r="S98" s="10">
        <v>40732.0</v>
      </c>
      <c r="T98" s="11">
        <f t="shared" si="1"/>
        <v>7</v>
      </c>
      <c r="U98" s="11">
        <f t="shared" si="2"/>
        <v>2011</v>
      </c>
      <c r="V98" s="12" t="str">
        <f t="shared" si="3"/>
        <v>July</v>
      </c>
      <c r="W98" s="13">
        <f t="shared" si="4"/>
        <v>482227200</v>
      </c>
    </row>
    <row r="99" ht="15.75" customHeight="1">
      <c r="A99" s="1" t="s">
        <v>138</v>
      </c>
      <c r="B99" s="5" t="s">
        <v>146</v>
      </c>
      <c r="C99" s="6">
        <v>954.0</v>
      </c>
      <c r="D99" s="7">
        <v>85500.0</v>
      </c>
      <c r="E99" s="7">
        <v>63423.0</v>
      </c>
      <c r="F99" s="8">
        <v>0.74</v>
      </c>
      <c r="G99" s="1" t="s">
        <v>25</v>
      </c>
      <c r="H99" s="6">
        <v>5.0</v>
      </c>
      <c r="I99" s="6">
        <v>302.0</v>
      </c>
      <c r="J99" s="9" t="s">
        <v>35</v>
      </c>
      <c r="K99" s="9" t="s">
        <v>27</v>
      </c>
      <c r="L99" s="6">
        <v>20.0</v>
      </c>
      <c r="M99" s="6">
        <v>141.1009845</v>
      </c>
      <c r="N99" s="6">
        <v>113.6</v>
      </c>
      <c r="O99" s="6">
        <v>73.1</v>
      </c>
      <c r="P99" s="6">
        <v>196.6</v>
      </c>
      <c r="Q99" s="6">
        <v>4.115</v>
      </c>
      <c r="R99" s="6">
        <v>23.2</v>
      </c>
      <c r="S99" s="10">
        <v>40644.0</v>
      </c>
      <c r="T99" s="11">
        <f t="shared" si="1"/>
        <v>4</v>
      </c>
      <c r="U99" s="11">
        <f t="shared" si="2"/>
        <v>2011</v>
      </c>
      <c r="V99" s="12" t="str">
        <f t="shared" si="3"/>
        <v>April</v>
      </c>
      <c r="W99" s="13">
        <f t="shared" si="4"/>
        <v>81567000</v>
      </c>
    </row>
    <row r="100" ht="15.75" customHeight="1">
      <c r="A100" s="1" t="s">
        <v>138</v>
      </c>
      <c r="B100" s="5" t="s">
        <v>147</v>
      </c>
      <c r="C100" s="6">
        <v>28976.0</v>
      </c>
      <c r="D100" s="7">
        <v>35300.0</v>
      </c>
      <c r="E100" s="7">
        <v>28720.0</v>
      </c>
      <c r="F100" s="8">
        <v>0.81</v>
      </c>
      <c r="G100" s="1" t="s">
        <v>25</v>
      </c>
      <c r="H100" s="6">
        <v>3.2</v>
      </c>
      <c r="I100" s="6">
        <v>215.0</v>
      </c>
      <c r="J100" s="9" t="s">
        <v>26</v>
      </c>
      <c r="K100" s="9" t="s">
        <v>51</v>
      </c>
      <c r="L100" s="6">
        <v>20.0</v>
      </c>
      <c r="M100" s="6">
        <v>90.49553213</v>
      </c>
      <c r="N100" s="6">
        <v>111.0</v>
      </c>
      <c r="O100" s="6">
        <v>72.2</v>
      </c>
      <c r="P100" s="6">
        <v>180.6</v>
      </c>
      <c r="Q100" s="6">
        <v>4.387</v>
      </c>
      <c r="R100" s="6">
        <v>19.0</v>
      </c>
      <c r="S100" s="10">
        <v>40584.0</v>
      </c>
      <c r="T100" s="11">
        <f t="shared" si="1"/>
        <v>2</v>
      </c>
      <c r="U100" s="11">
        <f t="shared" si="2"/>
        <v>2011</v>
      </c>
      <c r="V100" s="12" t="str">
        <f t="shared" si="3"/>
        <v>February</v>
      </c>
      <c r="W100" s="13">
        <f t="shared" si="4"/>
        <v>1022852800</v>
      </c>
    </row>
    <row r="101" ht="15.75" customHeight="1">
      <c r="A101" s="1" t="s">
        <v>148</v>
      </c>
      <c r="B101" s="5" t="s">
        <v>149</v>
      </c>
      <c r="C101" s="6">
        <v>42643.0</v>
      </c>
      <c r="D101" s="7">
        <v>13499.0</v>
      </c>
      <c r="E101" s="7">
        <v>8450.0</v>
      </c>
      <c r="F101" s="8">
        <v>0.63</v>
      </c>
      <c r="G101" s="1" t="s">
        <v>34</v>
      </c>
      <c r="H101" s="6">
        <v>1.8</v>
      </c>
      <c r="I101" s="6">
        <v>126.0</v>
      </c>
      <c r="J101" s="9" t="s">
        <v>26</v>
      </c>
      <c r="K101" s="9" t="s">
        <v>27</v>
      </c>
      <c r="L101" s="6">
        <v>30.0</v>
      </c>
      <c r="M101" s="6">
        <v>50.24197791</v>
      </c>
      <c r="N101" s="6">
        <v>99.8</v>
      </c>
      <c r="O101" s="6">
        <v>67.3</v>
      </c>
      <c r="P101" s="6">
        <v>177.5</v>
      </c>
      <c r="Q101" s="6">
        <v>2.593</v>
      </c>
      <c r="R101" s="6">
        <v>13.2</v>
      </c>
      <c r="S101" s="14">
        <v>40786.0</v>
      </c>
      <c r="T101" s="11">
        <f t="shared" si="1"/>
        <v>8</v>
      </c>
      <c r="U101" s="11">
        <f t="shared" si="2"/>
        <v>2011</v>
      </c>
      <c r="V101" s="12" t="str">
        <f t="shared" si="3"/>
        <v>August</v>
      </c>
      <c r="W101" s="13">
        <f t="shared" si="4"/>
        <v>575637857</v>
      </c>
    </row>
    <row r="102" ht="15.75" customHeight="1">
      <c r="A102" s="1" t="s">
        <v>148</v>
      </c>
      <c r="B102" s="5" t="s">
        <v>150</v>
      </c>
      <c r="C102" s="6">
        <v>88094.0</v>
      </c>
      <c r="D102" s="7">
        <v>20390.0</v>
      </c>
      <c r="E102" s="7">
        <v>11295.0</v>
      </c>
      <c r="F102" s="8">
        <v>0.55</v>
      </c>
      <c r="G102" s="1" t="s">
        <v>34</v>
      </c>
      <c r="H102" s="6">
        <v>2.4</v>
      </c>
      <c r="I102" s="6">
        <v>155.0</v>
      </c>
      <c r="J102" s="9" t="s">
        <v>26</v>
      </c>
      <c r="K102" s="9" t="s">
        <v>27</v>
      </c>
      <c r="L102" s="6">
        <v>25.0</v>
      </c>
      <c r="M102" s="6">
        <v>63.31372783</v>
      </c>
      <c r="N102" s="6">
        <v>103.1</v>
      </c>
      <c r="O102" s="6">
        <v>69.1</v>
      </c>
      <c r="P102" s="6">
        <v>183.5</v>
      </c>
      <c r="Q102" s="6">
        <v>3.012</v>
      </c>
      <c r="R102" s="6">
        <v>15.9</v>
      </c>
      <c r="S102" s="10">
        <v>40757.0</v>
      </c>
      <c r="T102" s="11">
        <f t="shared" si="1"/>
        <v>8</v>
      </c>
      <c r="U102" s="11">
        <f t="shared" si="2"/>
        <v>2011</v>
      </c>
      <c r="V102" s="12" t="str">
        <f t="shared" si="3"/>
        <v>August</v>
      </c>
      <c r="W102" s="13">
        <f t="shared" si="4"/>
        <v>1796236660</v>
      </c>
    </row>
    <row r="103" ht="15.75" customHeight="1">
      <c r="A103" s="1" t="s">
        <v>148</v>
      </c>
      <c r="B103" s="5" t="s">
        <v>151</v>
      </c>
      <c r="C103" s="6">
        <v>79853.0</v>
      </c>
      <c r="D103" s="7">
        <v>26249.0</v>
      </c>
      <c r="E103" s="7">
        <v>15125.0</v>
      </c>
      <c r="F103" s="8">
        <v>0.58</v>
      </c>
      <c r="G103" s="1" t="s">
        <v>34</v>
      </c>
      <c r="H103" s="6">
        <v>3.0</v>
      </c>
      <c r="I103" s="6">
        <v>222.0</v>
      </c>
      <c r="J103" s="9" t="s">
        <v>26</v>
      </c>
      <c r="K103" s="9" t="s">
        <v>27</v>
      </c>
      <c r="L103" s="6">
        <v>25.0</v>
      </c>
      <c r="M103" s="6">
        <v>89.42782031</v>
      </c>
      <c r="N103" s="6">
        <v>108.3</v>
      </c>
      <c r="O103" s="6">
        <v>70.3</v>
      </c>
      <c r="P103" s="6">
        <v>190.5</v>
      </c>
      <c r="Q103" s="6">
        <v>3.294</v>
      </c>
      <c r="R103" s="6">
        <v>18.5</v>
      </c>
      <c r="S103" s="10">
        <v>40669.0</v>
      </c>
      <c r="T103" s="11">
        <f t="shared" si="1"/>
        <v>5</v>
      </c>
      <c r="U103" s="11">
        <f t="shared" si="2"/>
        <v>2011</v>
      </c>
      <c r="V103" s="12" t="str">
        <f t="shared" si="3"/>
        <v>May</v>
      </c>
      <c r="W103" s="13">
        <f t="shared" si="4"/>
        <v>2096061397</v>
      </c>
    </row>
    <row r="104" ht="15.75" customHeight="1">
      <c r="A104" s="1" t="s">
        <v>148</v>
      </c>
      <c r="B104" s="5" t="s">
        <v>152</v>
      </c>
      <c r="C104" s="6">
        <v>27308.0</v>
      </c>
      <c r="D104" s="7">
        <v>26399.0</v>
      </c>
      <c r="E104" s="7">
        <v>15380.0</v>
      </c>
      <c r="F104" s="8">
        <v>0.58</v>
      </c>
      <c r="G104" s="1" t="s">
        <v>34</v>
      </c>
      <c r="H104" s="6">
        <v>3.3</v>
      </c>
      <c r="I104" s="6">
        <v>170.0</v>
      </c>
      <c r="J104" s="9" t="s">
        <v>26</v>
      </c>
      <c r="K104" s="9" t="s">
        <v>51</v>
      </c>
      <c r="L104" s="6">
        <v>21.0</v>
      </c>
      <c r="M104" s="6">
        <v>71.17166413</v>
      </c>
      <c r="N104" s="6">
        <v>112.2</v>
      </c>
      <c r="O104" s="6">
        <v>74.9</v>
      </c>
      <c r="P104" s="6">
        <v>194.8</v>
      </c>
      <c r="Q104" s="6">
        <v>3.991</v>
      </c>
      <c r="R104" s="6">
        <v>20.0</v>
      </c>
      <c r="S104" s="10">
        <v>40609.0</v>
      </c>
      <c r="T104" s="11">
        <f t="shared" si="1"/>
        <v>3</v>
      </c>
      <c r="U104" s="11">
        <f t="shared" si="2"/>
        <v>2011</v>
      </c>
      <c r="V104" s="12" t="str">
        <f t="shared" si="3"/>
        <v>March</v>
      </c>
      <c r="W104" s="13">
        <f t="shared" si="4"/>
        <v>720903892</v>
      </c>
    </row>
    <row r="105" ht="15.75" customHeight="1">
      <c r="A105" s="1" t="s">
        <v>148</v>
      </c>
      <c r="B105" s="5" t="s">
        <v>153</v>
      </c>
      <c r="C105" s="6">
        <v>42574.0</v>
      </c>
      <c r="D105" s="7">
        <v>29299.0</v>
      </c>
      <c r="E105" s="7">
        <v>17810.0</v>
      </c>
      <c r="F105" s="8">
        <v>0.61</v>
      </c>
      <c r="G105" s="1" t="s">
        <v>34</v>
      </c>
      <c r="H105" s="6">
        <v>3.3</v>
      </c>
      <c r="I105" s="6">
        <v>170.0</v>
      </c>
      <c r="J105" s="9" t="s">
        <v>26</v>
      </c>
      <c r="K105" s="9" t="s">
        <v>51</v>
      </c>
      <c r="L105" s="6">
        <v>19.0</v>
      </c>
      <c r="M105" s="6">
        <v>72.29035508</v>
      </c>
      <c r="N105" s="6">
        <v>106.3</v>
      </c>
      <c r="O105" s="6">
        <v>71.7</v>
      </c>
      <c r="P105" s="6">
        <v>182.6</v>
      </c>
      <c r="Q105" s="6">
        <v>3.947</v>
      </c>
      <c r="R105" s="6">
        <v>21.0</v>
      </c>
      <c r="S105" s="14">
        <v>40811.0</v>
      </c>
      <c r="T105" s="11">
        <f t="shared" si="1"/>
        <v>9</v>
      </c>
      <c r="U105" s="11">
        <f t="shared" si="2"/>
        <v>2011</v>
      </c>
      <c r="V105" s="12" t="str">
        <f t="shared" si="3"/>
        <v>September</v>
      </c>
      <c r="W105" s="13">
        <f t="shared" si="4"/>
        <v>1247375626</v>
      </c>
    </row>
    <row r="106" ht="15.75" customHeight="1">
      <c r="A106" s="1" t="s">
        <v>148</v>
      </c>
      <c r="B106" s="5" t="s">
        <v>154</v>
      </c>
      <c r="C106" s="6">
        <v>54158.0</v>
      </c>
      <c r="D106" s="7">
        <v>22799.0</v>
      </c>
      <c r="E106" s="7">
        <v>13093.0</v>
      </c>
      <c r="F106" s="8">
        <v>0.57</v>
      </c>
      <c r="G106" s="1" t="s">
        <v>34</v>
      </c>
      <c r="H106" s="6">
        <v>3.3</v>
      </c>
      <c r="I106" s="6">
        <v>170.0</v>
      </c>
      <c r="J106" s="9" t="s">
        <v>26</v>
      </c>
      <c r="K106" s="9" t="s">
        <v>51</v>
      </c>
      <c r="L106" s="6">
        <v>18.0</v>
      </c>
      <c r="M106" s="6">
        <v>69.78294434</v>
      </c>
      <c r="N106" s="6">
        <v>104.3</v>
      </c>
      <c r="O106" s="6">
        <v>70.4</v>
      </c>
      <c r="P106" s="6">
        <v>178.0</v>
      </c>
      <c r="Q106" s="6">
        <v>3.821</v>
      </c>
      <c r="R106" s="6">
        <v>19.4</v>
      </c>
      <c r="S106" s="15">
        <v>40567.0</v>
      </c>
      <c r="T106" s="11">
        <f t="shared" si="1"/>
        <v>1</v>
      </c>
      <c r="U106" s="11">
        <f t="shared" si="2"/>
        <v>2011</v>
      </c>
      <c r="V106" s="12" t="str">
        <f t="shared" si="3"/>
        <v>January</v>
      </c>
      <c r="W106" s="13">
        <f t="shared" si="4"/>
        <v>1234748242</v>
      </c>
    </row>
    <row r="107" ht="15.75" customHeight="1">
      <c r="A107" s="1" t="s">
        <v>148</v>
      </c>
      <c r="B107" s="5" t="s">
        <v>155</v>
      </c>
      <c r="C107" s="6">
        <v>65005.0</v>
      </c>
      <c r="D107" s="7">
        <v>17890.0</v>
      </c>
      <c r="E107" s="7">
        <v>10670.0</v>
      </c>
      <c r="F107" s="8">
        <v>0.6</v>
      </c>
      <c r="G107" s="1" t="s">
        <v>34</v>
      </c>
      <c r="H107" s="6">
        <v>3.3</v>
      </c>
      <c r="I107" s="6">
        <v>170.0</v>
      </c>
      <c r="J107" s="9" t="s">
        <v>26</v>
      </c>
      <c r="K107" s="9" t="s">
        <v>51</v>
      </c>
      <c r="L107" s="6">
        <v>18.0</v>
      </c>
      <c r="M107" s="6">
        <v>67.88927059</v>
      </c>
      <c r="N107" s="6">
        <v>116.1</v>
      </c>
      <c r="O107" s="6">
        <v>66.5</v>
      </c>
      <c r="P107" s="6">
        <v>196.1</v>
      </c>
      <c r="Q107" s="6">
        <v>3.217</v>
      </c>
      <c r="R107" s="6">
        <v>19.4</v>
      </c>
      <c r="S107" s="15">
        <v>40782.0</v>
      </c>
      <c r="T107" s="11">
        <f t="shared" si="1"/>
        <v>8</v>
      </c>
      <c r="U107" s="11">
        <f t="shared" si="2"/>
        <v>2011</v>
      </c>
      <c r="V107" s="12" t="str">
        <f t="shared" si="3"/>
        <v>August</v>
      </c>
      <c r="W107" s="13">
        <f t="shared" si="4"/>
        <v>1162939450</v>
      </c>
    </row>
    <row r="108" ht="15.75" customHeight="1">
      <c r="A108" s="1" t="s">
        <v>156</v>
      </c>
      <c r="B108" s="5" t="s">
        <v>157</v>
      </c>
      <c r="C108" s="6">
        <v>1112.0</v>
      </c>
      <c r="D108" s="7">
        <v>18145.0</v>
      </c>
      <c r="E108" s="7">
        <v>11240.0</v>
      </c>
      <c r="F108" s="8">
        <v>0.62</v>
      </c>
      <c r="G108" s="1" t="s">
        <v>34</v>
      </c>
      <c r="H108" s="6">
        <v>3.1</v>
      </c>
      <c r="I108" s="6">
        <v>150.0</v>
      </c>
      <c r="J108" s="9" t="s">
        <v>26</v>
      </c>
      <c r="K108" s="9" t="s">
        <v>27</v>
      </c>
      <c r="L108" s="6">
        <v>25.0</v>
      </c>
      <c r="M108" s="6">
        <v>60.86161155</v>
      </c>
      <c r="N108" s="6">
        <v>107.0</v>
      </c>
      <c r="O108" s="6">
        <v>69.4</v>
      </c>
      <c r="P108" s="6">
        <v>192.0</v>
      </c>
      <c r="Q108" s="6">
        <v>3.102</v>
      </c>
      <c r="R108" s="6">
        <v>15.2</v>
      </c>
      <c r="S108" s="14">
        <v>40694.0</v>
      </c>
      <c r="T108" s="11">
        <f t="shared" si="1"/>
        <v>5</v>
      </c>
      <c r="U108" s="11">
        <f t="shared" si="2"/>
        <v>2011</v>
      </c>
      <c r="V108" s="12" t="str">
        <f t="shared" si="3"/>
        <v>May</v>
      </c>
      <c r="W108" s="13">
        <f t="shared" si="4"/>
        <v>20177240</v>
      </c>
    </row>
    <row r="109" ht="15.75" customHeight="1">
      <c r="A109" s="1" t="s">
        <v>156</v>
      </c>
      <c r="B109" s="5" t="s">
        <v>158</v>
      </c>
      <c r="C109" s="6">
        <v>38554.0</v>
      </c>
      <c r="D109" s="7">
        <v>24150.0</v>
      </c>
      <c r="E109" s="7">
        <v>17100.0</v>
      </c>
      <c r="F109" s="8">
        <v>0.71</v>
      </c>
      <c r="G109" s="1" t="s">
        <v>25</v>
      </c>
      <c r="H109" s="6">
        <v>3.5</v>
      </c>
      <c r="I109" s="6">
        <v>215.0</v>
      </c>
      <c r="J109" s="9" t="s">
        <v>26</v>
      </c>
      <c r="K109" s="9" t="s">
        <v>27</v>
      </c>
      <c r="L109" s="6">
        <v>23.0</v>
      </c>
      <c r="M109" s="6">
        <v>86.27252291</v>
      </c>
      <c r="N109" s="6">
        <v>109.0</v>
      </c>
      <c r="O109" s="6">
        <v>73.6</v>
      </c>
      <c r="P109" s="6">
        <v>195.9</v>
      </c>
      <c r="Q109" s="6">
        <v>3.455</v>
      </c>
      <c r="R109" s="6">
        <v>18.0</v>
      </c>
      <c r="S109" s="10">
        <v>40634.0</v>
      </c>
      <c r="T109" s="11">
        <f t="shared" si="1"/>
        <v>4</v>
      </c>
      <c r="U109" s="11">
        <f t="shared" si="2"/>
        <v>2011</v>
      </c>
      <c r="V109" s="12" t="str">
        <f t="shared" si="3"/>
        <v>April</v>
      </c>
      <c r="W109" s="13">
        <f t="shared" si="4"/>
        <v>931079100</v>
      </c>
    </row>
    <row r="110" ht="15.75" customHeight="1">
      <c r="A110" s="1" t="s">
        <v>156</v>
      </c>
      <c r="B110" s="5" t="s">
        <v>159</v>
      </c>
      <c r="C110" s="6">
        <v>80255.0</v>
      </c>
      <c r="D110" s="7">
        <v>18270.0</v>
      </c>
      <c r="E110" s="7">
        <v>11459.0</v>
      </c>
      <c r="F110" s="8">
        <v>0.63</v>
      </c>
      <c r="G110" s="1" t="s">
        <v>34</v>
      </c>
      <c r="H110" s="6">
        <v>2.4</v>
      </c>
      <c r="I110" s="6">
        <v>150.0</v>
      </c>
      <c r="J110" s="9" t="s">
        <v>26</v>
      </c>
      <c r="K110" s="9" t="s">
        <v>27</v>
      </c>
      <c r="L110" s="6">
        <v>27.0</v>
      </c>
      <c r="M110" s="6">
        <v>60.72744693</v>
      </c>
      <c r="N110" s="6">
        <v>107.0</v>
      </c>
      <c r="O110" s="6">
        <v>70.1</v>
      </c>
      <c r="P110" s="6">
        <v>186.7</v>
      </c>
      <c r="Q110" s="6">
        <v>2.958</v>
      </c>
      <c r="R110" s="6">
        <v>15.0</v>
      </c>
      <c r="S110" s="14">
        <v>40106.0</v>
      </c>
      <c r="T110" s="11">
        <f t="shared" si="1"/>
        <v>10</v>
      </c>
      <c r="U110" s="11">
        <f t="shared" si="2"/>
        <v>2009</v>
      </c>
      <c r="V110" s="12" t="str">
        <f t="shared" si="3"/>
        <v>October</v>
      </c>
      <c r="W110" s="13">
        <f t="shared" si="4"/>
        <v>1466258850</v>
      </c>
    </row>
    <row r="111" ht="15.75" customHeight="1">
      <c r="A111" s="1" t="s">
        <v>156</v>
      </c>
      <c r="B111" s="5" t="s">
        <v>160</v>
      </c>
      <c r="C111" s="6">
        <v>14690.0</v>
      </c>
      <c r="D111" s="7">
        <v>36229.0</v>
      </c>
      <c r="E111" s="7">
        <v>19890.0</v>
      </c>
      <c r="F111" s="8">
        <v>0.55</v>
      </c>
      <c r="G111" s="1" t="s">
        <v>34</v>
      </c>
      <c r="H111" s="6">
        <v>4.0</v>
      </c>
      <c r="I111" s="6">
        <v>250.0</v>
      </c>
      <c r="J111" s="9" t="s">
        <v>26</v>
      </c>
      <c r="K111" s="9" t="s">
        <v>27</v>
      </c>
      <c r="L111" s="6">
        <v>22.0</v>
      </c>
      <c r="M111" s="6">
        <v>103.4416926</v>
      </c>
      <c r="N111" s="6">
        <v>113.8</v>
      </c>
      <c r="O111" s="6">
        <v>74.4</v>
      </c>
      <c r="P111" s="6">
        <v>205.4</v>
      </c>
      <c r="Q111" s="6">
        <v>3.967</v>
      </c>
      <c r="R111" s="6">
        <v>18.5</v>
      </c>
      <c r="S111" s="15">
        <v>40592.0</v>
      </c>
      <c r="T111" s="11">
        <f t="shared" si="1"/>
        <v>2</v>
      </c>
      <c r="U111" s="11">
        <f t="shared" si="2"/>
        <v>2011</v>
      </c>
      <c r="V111" s="12" t="str">
        <f t="shared" si="3"/>
        <v>February</v>
      </c>
      <c r="W111" s="13">
        <f t="shared" si="4"/>
        <v>532204010</v>
      </c>
    </row>
    <row r="112" ht="15.75" customHeight="1">
      <c r="A112" s="1" t="s">
        <v>156</v>
      </c>
      <c r="B112" s="5" t="s">
        <v>161</v>
      </c>
      <c r="C112" s="6">
        <v>20017.0</v>
      </c>
      <c r="D112" s="7">
        <v>31598.0</v>
      </c>
      <c r="E112" s="7">
        <v>19925.0</v>
      </c>
      <c r="F112" s="8">
        <v>0.63</v>
      </c>
      <c r="G112" s="1" t="s">
        <v>34</v>
      </c>
      <c r="H112" s="6">
        <v>4.3</v>
      </c>
      <c r="I112" s="6">
        <v>190.0</v>
      </c>
      <c r="J112" s="9" t="s">
        <v>26</v>
      </c>
      <c r="K112" s="9" t="s">
        <v>51</v>
      </c>
      <c r="L112" s="6">
        <v>19.0</v>
      </c>
      <c r="M112" s="6">
        <v>80.51167259</v>
      </c>
      <c r="N112" s="6">
        <v>107.0</v>
      </c>
      <c r="O112" s="6">
        <v>67.8</v>
      </c>
      <c r="P112" s="6">
        <v>181.2</v>
      </c>
      <c r="Q112" s="6">
        <v>4.068</v>
      </c>
      <c r="R112" s="6">
        <v>17.5</v>
      </c>
      <c r="S112" s="14">
        <v>40807.0</v>
      </c>
      <c r="T112" s="11">
        <f t="shared" si="1"/>
        <v>9</v>
      </c>
      <c r="U112" s="11">
        <f t="shared" si="2"/>
        <v>2011</v>
      </c>
      <c r="V112" s="12" t="str">
        <f t="shared" si="3"/>
        <v>September</v>
      </c>
      <c r="W112" s="13">
        <f t="shared" si="4"/>
        <v>632497166</v>
      </c>
    </row>
    <row r="113" ht="15.75" customHeight="1">
      <c r="A113" s="1" t="s">
        <v>156</v>
      </c>
      <c r="B113" s="5" t="s">
        <v>162</v>
      </c>
      <c r="C113" s="6">
        <v>24361.0</v>
      </c>
      <c r="D113" s="7">
        <v>25345.0</v>
      </c>
      <c r="E113" s="7">
        <v>15240.0</v>
      </c>
      <c r="F113" s="8">
        <v>0.6</v>
      </c>
      <c r="G113" s="1" t="s">
        <v>34</v>
      </c>
      <c r="H113" s="6">
        <v>3.4</v>
      </c>
      <c r="I113" s="6">
        <v>185.0</v>
      </c>
      <c r="J113" s="9" t="s">
        <v>26</v>
      </c>
      <c r="K113" s="9" t="s">
        <v>51</v>
      </c>
      <c r="L113" s="6">
        <v>22.0</v>
      </c>
      <c r="M113" s="6">
        <v>76.09657042</v>
      </c>
      <c r="N113" s="6">
        <v>120.0</v>
      </c>
      <c r="O113" s="6">
        <v>72.2</v>
      </c>
      <c r="P113" s="6">
        <v>201.4</v>
      </c>
      <c r="Q113" s="6">
        <v>3.948</v>
      </c>
      <c r="R113" s="6">
        <v>25.0</v>
      </c>
      <c r="S113" s="14">
        <v>40719.0</v>
      </c>
      <c r="T113" s="11">
        <f t="shared" si="1"/>
        <v>6</v>
      </c>
      <c r="U113" s="11">
        <f t="shared" si="2"/>
        <v>2011</v>
      </c>
      <c r="V113" s="12" t="str">
        <f t="shared" si="3"/>
        <v>June</v>
      </c>
      <c r="W113" s="13">
        <f t="shared" si="4"/>
        <v>617429545</v>
      </c>
    </row>
    <row r="114" ht="15.75" customHeight="1">
      <c r="A114" s="1" t="s">
        <v>163</v>
      </c>
      <c r="B114" s="5" t="s">
        <v>71</v>
      </c>
      <c r="C114" s="6">
        <v>32734.0</v>
      </c>
      <c r="D114" s="7">
        <v>12640.0</v>
      </c>
      <c r="E114" s="7">
        <v>7750.0</v>
      </c>
      <c r="F114" s="8">
        <v>0.61</v>
      </c>
      <c r="G114" s="1" t="s">
        <v>34</v>
      </c>
      <c r="H114" s="6">
        <v>2.0</v>
      </c>
      <c r="I114" s="6">
        <v>132.0</v>
      </c>
      <c r="J114" s="9" t="s">
        <v>26</v>
      </c>
      <c r="K114" s="9" t="s">
        <v>27</v>
      </c>
      <c r="L114" s="6">
        <v>29.0</v>
      </c>
      <c r="M114" s="6">
        <v>52.08489875</v>
      </c>
      <c r="N114" s="6">
        <v>105.0</v>
      </c>
      <c r="O114" s="6">
        <v>74.4</v>
      </c>
      <c r="P114" s="6">
        <v>174.4</v>
      </c>
      <c r="Q114" s="6">
        <v>2.559</v>
      </c>
      <c r="R114" s="6">
        <v>12.5</v>
      </c>
      <c r="S114" s="14">
        <v>40659.0</v>
      </c>
      <c r="T114" s="11">
        <f t="shared" si="1"/>
        <v>4</v>
      </c>
      <c r="U114" s="11">
        <f t="shared" si="2"/>
        <v>2011</v>
      </c>
      <c r="V114" s="12" t="str">
        <f t="shared" si="3"/>
        <v>April</v>
      </c>
      <c r="W114" s="13">
        <f t="shared" si="4"/>
        <v>413757760</v>
      </c>
    </row>
    <row r="115" ht="15.75" customHeight="1">
      <c r="A115" s="1" t="s">
        <v>163</v>
      </c>
      <c r="B115" s="5" t="s">
        <v>164</v>
      </c>
      <c r="C115" s="6">
        <v>5240.0</v>
      </c>
      <c r="D115" s="7">
        <v>16080.0</v>
      </c>
      <c r="E115" s="7">
        <v>9800.0</v>
      </c>
      <c r="F115" s="8">
        <v>0.61</v>
      </c>
      <c r="G115" s="1" t="s">
        <v>34</v>
      </c>
      <c r="H115" s="6">
        <v>2.0</v>
      </c>
      <c r="I115" s="6">
        <v>132.0</v>
      </c>
      <c r="J115" s="9" t="s">
        <v>26</v>
      </c>
      <c r="K115" s="9" t="s">
        <v>27</v>
      </c>
      <c r="L115" s="6">
        <v>27.0</v>
      </c>
      <c r="M115" s="6">
        <v>53.41189767</v>
      </c>
      <c r="N115" s="6">
        <v>108.0</v>
      </c>
      <c r="O115" s="6">
        <v>71.0</v>
      </c>
      <c r="P115" s="6">
        <v>186.3</v>
      </c>
      <c r="Q115" s="6">
        <v>2.942</v>
      </c>
      <c r="R115" s="6">
        <v>16.0</v>
      </c>
      <c r="S115" s="14">
        <v>40861.0</v>
      </c>
      <c r="T115" s="11">
        <f t="shared" si="1"/>
        <v>11</v>
      </c>
      <c r="U115" s="11">
        <f t="shared" si="2"/>
        <v>2011</v>
      </c>
      <c r="V115" s="12" t="str">
        <f t="shared" si="3"/>
        <v>November</v>
      </c>
      <c r="W115" s="13">
        <f t="shared" si="4"/>
        <v>84259200</v>
      </c>
    </row>
    <row r="116" ht="15.75" customHeight="1">
      <c r="A116" s="1" t="s">
        <v>163</v>
      </c>
      <c r="B116" s="5" t="s">
        <v>165</v>
      </c>
      <c r="C116" s="6">
        <v>24155.0</v>
      </c>
      <c r="D116" s="7">
        <v>18850.0</v>
      </c>
      <c r="E116" s="7">
        <v>12025.0</v>
      </c>
      <c r="F116" s="8">
        <v>0.64</v>
      </c>
      <c r="G116" s="1" t="s">
        <v>34</v>
      </c>
      <c r="H116" s="6">
        <v>2.4</v>
      </c>
      <c r="I116" s="6">
        <v>150.0</v>
      </c>
      <c r="J116" s="9" t="s">
        <v>26</v>
      </c>
      <c r="K116" s="9" t="s">
        <v>51</v>
      </c>
      <c r="L116" s="6">
        <v>24.0</v>
      </c>
      <c r="M116" s="6">
        <v>60.95118512</v>
      </c>
      <c r="N116" s="6">
        <v>113.3</v>
      </c>
      <c r="O116" s="6">
        <v>76.8</v>
      </c>
      <c r="P116" s="6">
        <v>186.3</v>
      </c>
      <c r="Q116" s="6">
        <v>3.528</v>
      </c>
      <c r="R116" s="6">
        <v>20.0</v>
      </c>
      <c r="S116" s="18">
        <v>40657.0</v>
      </c>
      <c r="T116" s="11">
        <f t="shared" si="1"/>
        <v>4</v>
      </c>
      <c r="U116" s="11">
        <f t="shared" si="2"/>
        <v>2011</v>
      </c>
      <c r="V116" s="12" t="str">
        <f t="shared" si="3"/>
        <v>April</v>
      </c>
      <c r="W116" s="13">
        <f t="shared" si="4"/>
        <v>455321750</v>
      </c>
    </row>
    <row r="117" ht="15.75" customHeight="1">
      <c r="A117" s="1" t="s">
        <v>163</v>
      </c>
      <c r="B117" s="5" t="s">
        <v>166</v>
      </c>
      <c r="C117" s="6">
        <v>1872.0</v>
      </c>
      <c r="D117" s="7">
        <v>43000.0</v>
      </c>
      <c r="E117" s="7">
        <v>30434.0</v>
      </c>
      <c r="F117" s="8">
        <v>0.71</v>
      </c>
      <c r="G117" s="1" t="s">
        <v>25</v>
      </c>
      <c r="H117" s="6">
        <v>3.5</v>
      </c>
      <c r="I117" s="6">
        <v>253.0</v>
      </c>
      <c r="J117" s="9" t="s">
        <v>26</v>
      </c>
      <c r="K117" s="9" t="s">
        <v>27</v>
      </c>
      <c r="L117" s="6">
        <v>21.0</v>
      </c>
      <c r="M117" s="6">
        <v>106.9844563</v>
      </c>
      <c r="N117" s="6">
        <v>113.3</v>
      </c>
      <c r="O117" s="6">
        <v>76.3</v>
      </c>
      <c r="P117" s="6">
        <v>165.4</v>
      </c>
      <c r="Q117" s="6">
        <v>2.85</v>
      </c>
      <c r="R117" s="6">
        <v>12.0</v>
      </c>
      <c r="S117" s="18">
        <v>41087.0</v>
      </c>
      <c r="T117" s="11">
        <f t="shared" si="1"/>
        <v>6</v>
      </c>
      <c r="U117" s="11">
        <f t="shared" si="2"/>
        <v>2012</v>
      </c>
      <c r="V117" s="12" t="str">
        <f t="shared" si="3"/>
        <v>June</v>
      </c>
      <c r="W117" s="13">
        <f t="shared" si="4"/>
        <v>80496000</v>
      </c>
    </row>
    <row r="118" ht="15.75" customHeight="1">
      <c r="A118" s="1" t="s">
        <v>167</v>
      </c>
      <c r="B118" s="5" t="s">
        <v>168</v>
      </c>
      <c r="C118" s="6">
        <v>51645.0</v>
      </c>
      <c r="D118" s="7">
        <v>21610.0</v>
      </c>
      <c r="E118" s="7">
        <v>13790.0</v>
      </c>
      <c r="F118" s="8">
        <v>0.64</v>
      </c>
      <c r="G118" s="1" t="s">
        <v>34</v>
      </c>
      <c r="H118" s="6">
        <v>2.4</v>
      </c>
      <c r="I118" s="6">
        <v>150.0</v>
      </c>
      <c r="J118" s="9" t="s">
        <v>26</v>
      </c>
      <c r="K118" s="9" t="s">
        <v>27</v>
      </c>
      <c r="L118" s="6">
        <v>27.0</v>
      </c>
      <c r="M118" s="6">
        <v>62.0158703</v>
      </c>
      <c r="N118" s="6">
        <v>104.1</v>
      </c>
      <c r="O118" s="6">
        <v>68.4</v>
      </c>
      <c r="P118" s="6">
        <v>181.9</v>
      </c>
      <c r="Q118" s="6">
        <v>2.906</v>
      </c>
      <c r="R118" s="6">
        <v>15.0</v>
      </c>
      <c r="S118" s="18">
        <v>40933.0</v>
      </c>
      <c r="T118" s="11">
        <f t="shared" si="1"/>
        <v>1</v>
      </c>
      <c r="U118" s="11">
        <f t="shared" si="2"/>
        <v>2012</v>
      </c>
      <c r="V118" s="12" t="str">
        <f t="shared" si="3"/>
        <v>January</v>
      </c>
      <c r="W118" s="13">
        <f t="shared" si="4"/>
        <v>1116048450</v>
      </c>
    </row>
    <row r="119" ht="15.75" customHeight="1">
      <c r="A119" s="1" t="s">
        <v>167</v>
      </c>
      <c r="B119" s="5" t="s">
        <v>169</v>
      </c>
      <c r="C119" s="6">
        <v>131097.0</v>
      </c>
      <c r="D119" s="7">
        <v>19720.0</v>
      </c>
      <c r="E119" s="7">
        <v>10290.0</v>
      </c>
      <c r="F119" s="8">
        <v>0.52</v>
      </c>
      <c r="G119" s="1" t="s">
        <v>34</v>
      </c>
      <c r="H119" s="6">
        <v>3.4</v>
      </c>
      <c r="I119" s="6">
        <v>175.0</v>
      </c>
      <c r="J119" s="9" t="s">
        <v>26</v>
      </c>
      <c r="K119" s="9" t="s">
        <v>27</v>
      </c>
      <c r="L119" s="6">
        <v>25.0</v>
      </c>
      <c r="M119" s="6">
        <v>70.38973726</v>
      </c>
      <c r="N119" s="6">
        <v>107.0</v>
      </c>
      <c r="O119" s="6">
        <v>70.4</v>
      </c>
      <c r="P119" s="6">
        <v>186.3</v>
      </c>
      <c r="Q119" s="6">
        <v>3.091</v>
      </c>
      <c r="R119" s="6">
        <v>15.2</v>
      </c>
      <c r="S119" s="19">
        <v>41239.0</v>
      </c>
      <c r="T119" s="11">
        <f t="shared" si="1"/>
        <v>11</v>
      </c>
      <c r="U119" s="11">
        <f t="shared" si="2"/>
        <v>2012</v>
      </c>
      <c r="V119" s="12" t="str">
        <f t="shared" si="3"/>
        <v>November</v>
      </c>
      <c r="W119" s="13">
        <f t="shared" si="4"/>
        <v>2585232840</v>
      </c>
    </row>
    <row r="120" ht="15.75" customHeight="1">
      <c r="A120" s="1" t="s">
        <v>167</v>
      </c>
      <c r="B120" s="5" t="s">
        <v>170</v>
      </c>
      <c r="C120" s="6">
        <v>19911.0</v>
      </c>
      <c r="D120" s="7">
        <v>25310.0</v>
      </c>
      <c r="E120" s="7">
        <v>17805.0</v>
      </c>
      <c r="F120" s="8">
        <v>0.7</v>
      </c>
      <c r="G120" s="1" t="s">
        <v>25</v>
      </c>
      <c r="H120" s="6">
        <v>3.8</v>
      </c>
      <c r="I120" s="6">
        <v>200.0</v>
      </c>
      <c r="J120" s="9" t="s">
        <v>26</v>
      </c>
      <c r="K120" s="9" t="s">
        <v>27</v>
      </c>
      <c r="L120" s="6">
        <v>25.0</v>
      </c>
      <c r="M120" s="6">
        <v>81.49272616</v>
      </c>
      <c r="N120" s="6">
        <v>101.1</v>
      </c>
      <c r="O120" s="6">
        <v>74.5</v>
      </c>
      <c r="P120" s="6">
        <v>193.4</v>
      </c>
      <c r="Q120" s="6">
        <v>3.492</v>
      </c>
      <c r="R120" s="6">
        <v>16.8</v>
      </c>
      <c r="S120" s="18">
        <v>41076.0</v>
      </c>
      <c r="T120" s="11">
        <f t="shared" si="1"/>
        <v>6</v>
      </c>
      <c r="U120" s="11">
        <f t="shared" si="2"/>
        <v>2012</v>
      </c>
      <c r="V120" s="12" t="str">
        <f t="shared" si="3"/>
        <v>June</v>
      </c>
      <c r="W120" s="13">
        <f t="shared" si="4"/>
        <v>503947410</v>
      </c>
    </row>
    <row r="121" ht="15.75" customHeight="1">
      <c r="A121" s="1" t="s">
        <v>167</v>
      </c>
      <c r="B121" s="5" t="s">
        <v>171</v>
      </c>
      <c r="C121" s="6">
        <v>92364.0</v>
      </c>
      <c r="D121" s="7">
        <v>21665.0</v>
      </c>
      <c r="E121" s="7">
        <v>14010.0</v>
      </c>
      <c r="F121" s="8">
        <v>0.65</v>
      </c>
      <c r="G121" s="1" t="s">
        <v>34</v>
      </c>
      <c r="H121" s="6">
        <v>3.8</v>
      </c>
      <c r="I121" s="6">
        <v>195.0</v>
      </c>
      <c r="J121" s="9" t="s">
        <v>26</v>
      </c>
      <c r="K121" s="9" t="s">
        <v>27</v>
      </c>
      <c r="L121" s="6">
        <v>25.0</v>
      </c>
      <c r="M121" s="6">
        <v>78.31816813</v>
      </c>
      <c r="N121" s="6">
        <v>110.5</v>
      </c>
      <c r="O121" s="6">
        <v>72.7</v>
      </c>
      <c r="P121" s="6">
        <v>196.5</v>
      </c>
      <c r="Q121" s="6">
        <v>3.396</v>
      </c>
      <c r="R121" s="6">
        <v>18.0</v>
      </c>
      <c r="S121" s="19">
        <v>41197.0</v>
      </c>
      <c r="T121" s="11">
        <f t="shared" si="1"/>
        <v>10</v>
      </c>
      <c r="U121" s="11">
        <f t="shared" si="2"/>
        <v>2012</v>
      </c>
      <c r="V121" s="12" t="str">
        <f t="shared" si="3"/>
        <v>October</v>
      </c>
      <c r="W121" s="13">
        <f t="shared" si="4"/>
        <v>2001066060</v>
      </c>
    </row>
    <row r="122" ht="15.75" customHeight="1">
      <c r="A122" s="1" t="s">
        <v>167</v>
      </c>
      <c r="B122" s="5" t="s">
        <v>172</v>
      </c>
      <c r="C122" s="6">
        <v>35945.0</v>
      </c>
      <c r="D122" s="7">
        <v>23755.0</v>
      </c>
      <c r="E122" s="7">
        <v>13225.0</v>
      </c>
      <c r="F122" s="8">
        <v>0.56</v>
      </c>
      <c r="G122" s="1" t="s">
        <v>34</v>
      </c>
      <c r="H122" s="6">
        <v>3.8</v>
      </c>
      <c r="I122" s="6">
        <v>205.0</v>
      </c>
      <c r="J122" s="9" t="s">
        <v>26</v>
      </c>
      <c r="K122" s="9" t="s">
        <v>27</v>
      </c>
      <c r="L122" s="6">
        <v>24.0</v>
      </c>
      <c r="M122" s="6">
        <v>82.6613556</v>
      </c>
      <c r="N122" s="6">
        <v>112.2</v>
      </c>
      <c r="O122" s="6">
        <v>72.6</v>
      </c>
      <c r="P122" s="6">
        <v>202.5</v>
      </c>
      <c r="Q122" s="6">
        <v>3.59</v>
      </c>
      <c r="R122" s="6">
        <v>17.5</v>
      </c>
      <c r="S122" s="18">
        <v>40681.0</v>
      </c>
      <c r="T122" s="11">
        <f t="shared" si="1"/>
        <v>5</v>
      </c>
      <c r="U122" s="11">
        <f t="shared" si="2"/>
        <v>2011</v>
      </c>
      <c r="V122" s="12" t="str">
        <f t="shared" si="3"/>
        <v>May</v>
      </c>
      <c r="W122" s="13">
        <f t="shared" si="4"/>
        <v>853873475</v>
      </c>
    </row>
    <row r="123" ht="15.75" customHeight="1">
      <c r="A123" s="1" t="s">
        <v>167</v>
      </c>
      <c r="B123" s="5" t="s">
        <v>173</v>
      </c>
      <c r="C123" s="6">
        <v>39572.0</v>
      </c>
      <c r="D123" s="7">
        <v>25635.0</v>
      </c>
      <c r="E123" s="7">
        <v>14215.0</v>
      </c>
      <c r="F123" s="8">
        <v>0.55</v>
      </c>
      <c r="G123" s="1" t="s">
        <v>34</v>
      </c>
      <c r="H123" s="6">
        <v>3.4</v>
      </c>
      <c r="I123" s="6">
        <v>185.0</v>
      </c>
      <c r="J123" s="9" t="s">
        <v>26</v>
      </c>
      <c r="K123" s="9" t="s">
        <v>51</v>
      </c>
      <c r="L123" s="6">
        <v>23.0</v>
      </c>
      <c r="M123" s="6">
        <v>76.20843952</v>
      </c>
      <c r="N123" s="6">
        <v>120.0</v>
      </c>
      <c r="O123" s="6">
        <v>72.7</v>
      </c>
      <c r="P123" s="6">
        <v>201.3</v>
      </c>
      <c r="Q123" s="6">
        <v>3.942</v>
      </c>
      <c r="R123" s="6">
        <v>25.0</v>
      </c>
      <c r="S123" s="18">
        <v>41112.0</v>
      </c>
      <c r="T123" s="11">
        <f t="shared" si="1"/>
        <v>7</v>
      </c>
      <c r="U123" s="11">
        <f t="shared" si="2"/>
        <v>2012</v>
      </c>
      <c r="V123" s="12" t="str">
        <f t="shared" si="3"/>
        <v>July</v>
      </c>
      <c r="W123" s="13">
        <f t="shared" si="4"/>
        <v>1014428220</v>
      </c>
    </row>
    <row r="124" ht="15.75" customHeight="1">
      <c r="A124" s="1" t="s">
        <v>174</v>
      </c>
      <c r="B124" s="5" t="s">
        <v>175</v>
      </c>
      <c r="C124" s="6">
        <v>8982.0</v>
      </c>
      <c r="D124" s="7">
        <v>41430.0</v>
      </c>
      <c r="E124" s="7">
        <v>41250.0</v>
      </c>
      <c r="F124" s="8">
        <v>1.0</v>
      </c>
      <c r="G124" s="1" t="s">
        <v>25</v>
      </c>
      <c r="H124" s="6">
        <v>2.7</v>
      </c>
      <c r="I124" s="6">
        <v>217.0</v>
      </c>
      <c r="J124" s="9" t="s">
        <v>26</v>
      </c>
      <c r="K124" s="9" t="s">
        <v>27</v>
      </c>
      <c r="L124" s="6">
        <v>22.0</v>
      </c>
      <c r="M124" s="6">
        <v>93.4373307</v>
      </c>
      <c r="N124" s="6">
        <v>95.2</v>
      </c>
      <c r="O124" s="6">
        <v>70.1</v>
      </c>
      <c r="P124" s="6">
        <v>171.0</v>
      </c>
      <c r="Q124" s="6">
        <v>2.778</v>
      </c>
      <c r="R124" s="6">
        <v>17.0</v>
      </c>
      <c r="S124" s="18">
        <v>40958.0</v>
      </c>
      <c r="T124" s="11">
        <f t="shared" si="1"/>
        <v>2</v>
      </c>
      <c r="U124" s="11">
        <f t="shared" si="2"/>
        <v>2012</v>
      </c>
      <c r="V124" s="12" t="str">
        <f t="shared" si="3"/>
        <v>February</v>
      </c>
      <c r="W124" s="13">
        <f t="shared" si="4"/>
        <v>372124260</v>
      </c>
    </row>
    <row r="125" ht="15.75" customHeight="1">
      <c r="A125" s="1" t="s">
        <v>174</v>
      </c>
      <c r="B125" s="5" t="s">
        <v>176</v>
      </c>
      <c r="C125" s="6">
        <v>1280.0</v>
      </c>
      <c r="D125" s="7">
        <v>71020.0</v>
      </c>
      <c r="E125" s="7">
        <v>60625.0</v>
      </c>
      <c r="F125" s="8">
        <v>0.85</v>
      </c>
      <c r="G125" s="1" t="s">
        <v>25</v>
      </c>
      <c r="H125" s="6">
        <v>3.4</v>
      </c>
      <c r="I125" s="6">
        <v>300.0</v>
      </c>
      <c r="J125" s="9" t="s">
        <v>35</v>
      </c>
      <c r="K125" s="9" t="s">
        <v>27</v>
      </c>
      <c r="L125" s="6">
        <v>21.0</v>
      </c>
      <c r="M125" s="6">
        <v>134.3909754</v>
      </c>
      <c r="N125" s="6">
        <v>92.6</v>
      </c>
      <c r="O125" s="6">
        <v>69.5</v>
      </c>
      <c r="P125" s="6">
        <v>174.5</v>
      </c>
      <c r="Q125" s="6">
        <v>3.032</v>
      </c>
      <c r="R125" s="6">
        <v>17.0</v>
      </c>
      <c r="S125" s="19">
        <v>41264.0</v>
      </c>
      <c r="T125" s="11">
        <f t="shared" si="1"/>
        <v>12</v>
      </c>
      <c r="U125" s="11">
        <f t="shared" si="2"/>
        <v>2012</v>
      </c>
      <c r="V125" s="12" t="str">
        <f t="shared" si="3"/>
        <v>December</v>
      </c>
      <c r="W125" s="13">
        <f t="shared" si="4"/>
        <v>90905600</v>
      </c>
    </row>
    <row r="126" ht="15.75" customHeight="1">
      <c r="A126" s="1" t="s">
        <v>174</v>
      </c>
      <c r="B126" s="5" t="s">
        <v>177</v>
      </c>
      <c r="C126" s="6">
        <v>1866.0</v>
      </c>
      <c r="D126" s="7">
        <v>74970.0</v>
      </c>
      <c r="E126" s="7">
        <v>67550.0</v>
      </c>
      <c r="F126" s="8">
        <v>0.9</v>
      </c>
      <c r="G126" s="1" t="s">
        <v>25</v>
      </c>
      <c r="H126" s="6">
        <v>3.4</v>
      </c>
      <c r="I126" s="6">
        <v>300.0</v>
      </c>
      <c r="J126" s="9" t="s">
        <v>35</v>
      </c>
      <c r="K126" s="9" t="s">
        <v>27</v>
      </c>
      <c r="L126" s="6">
        <v>23.0</v>
      </c>
      <c r="M126" s="6">
        <v>135.9147096</v>
      </c>
      <c r="N126" s="6">
        <v>92.6</v>
      </c>
      <c r="O126" s="6">
        <v>69.5</v>
      </c>
      <c r="P126" s="6">
        <v>174.5</v>
      </c>
      <c r="Q126" s="6">
        <v>3.075</v>
      </c>
      <c r="R126" s="6">
        <v>17.0</v>
      </c>
      <c r="S126" s="20">
        <v>40735.0</v>
      </c>
      <c r="T126" s="11">
        <f t="shared" si="1"/>
        <v>7</v>
      </c>
      <c r="U126" s="11">
        <f t="shared" si="2"/>
        <v>2011</v>
      </c>
      <c r="V126" s="12" t="str">
        <f t="shared" si="3"/>
        <v>July</v>
      </c>
      <c r="W126" s="13">
        <f t="shared" si="4"/>
        <v>139894020</v>
      </c>
    </row>
    <row r="127" ht="15.75" customHeight="1">
      <c r="A127" s="1" t="s">
        <v>178</v>
      </c>
      <c r="B127" s="21">
        <v>46151.0</v>
      </c>
      <c r="C127" s="6">
        <v>9191.0</v>
      </c>
      <c r="D127" s="7">
        <v>33120.0</v>
      </c>
      <c r="E127" s="7">
        <v>22789.0</v>
      </c>
      <c r="F127" s="8">
        <v>0.69</v>
      </c>
      <c r="G127" s="1" t="s">
        <v>34</v>
      </c>
      <c r="H127" s="6">
        <v>2.3</v>
      </c>
      <c r="I127" s="6">
        <v>170.0</v>
      </c>
      <c r="J127" s="9" t="s">
        <v>26</v>
      </c>
      <c r="K127" s="9" t="s">
        <v>27</v>
      </c>
      <c r="L127" s="6">
        <v>23.0</v>
      </c>
      <c r="M127" s="6">
        <v>73.50377819</v>
      </c>
      <c r="N127" s="6">
        <v>106.4</v>
      </c>
      <c r="O127" s="6">
        <v>70.6</v>
      </c>
      <c r="P127" s="6">
        <v>189.2</v>
      </c>
      <c r="Q127" s="6">
        <v>3.28</v>
      </c>
      <c r="R127" s="6">
        <v>18.5</v>
      </c>
      <c r="S127" s="20">
        <v>41222.0</v>
      </c>
      <c r="T127" s="11">
        <f t="shared" si="1"/>
        <v>11</v>
      </c>
      <c r="U127" s="11">
        <f t="shared" si="2"/>
        <v>2012</v>
      </c>
      <c r="V127" s="12" t="str">
        <f t="shared" si="3"/>
        <v>November</v>
      </c>
      <c r="W127" s="13">
        <f t="shared" si="4"/>
        <v>304405920</v>
      </c>
    </row>
    <row r="128" ht="15.75" customHeight="1">
      <c r="A128" s="1" t="s">
        <v>178</v>
      </c>
      <c r="B128" s="21">
        <v>46090.0</v>
      </c>
      <c r="C128" s="6">
        <v>12115.0</v>
      </c>
      <c r="D128" s="7">
        <v>26100.0</v>
      </c>
      <c r="E128" s="7">
        <v>18255.0</v>
      </c>
      <c r="F128" s="8">
        <v>0.7</v>
      </c>
      <c r="G128" s="1" t="s">
        <v>25</v>
      </c>
      <c r="H128" s="6">
        <v>2.0</v>
      </c>
      <c r="I128" s="6">
        <v>185.0</v>
      </c>
      <c r="J128" s="9" t="s">
        <v>26</v>
      </c>
      <c r="K128" s="9" t="s">
        <v>27</v>
      </c>
      <c r="L128" s="6">
        <v>23.0</v>
      </c>
      <c r="M128" s="6">
        <v>76.02304771</v>
      </c>
      <c r="N128" s="6">
        <v>102.6</v>
      </c>
      <c r="O128" s="6">
        <v>67.4</v>
      </c>
      <c r="P128" s="6">
        <v>182.2</v>
      </c>
      <c r="Q128" s="6">
        <v>2.99</v>
      </c>
      <c r="R128" s="6">
        <v>16.9</v>
      </c>
      <c r="S128" s="20">
        <v>40706.0</v>
      </c>
      <c r="T128" s="11">
        <f t="shared" si="1"/>
        <v>6</v>
      </c>
      <c r="U128" s="11">
        <f t="shared" si="2"/>
        <v>2011</v>
      </c>
      <c r="V128" s="12" t="str">
        <f t="shared" si="3"/>
        <v>June</v>
      </c>
      <c r="W128" s="13">
        <f t="shared" si="4"/>
        <v>316201500</v>
      </c>
    </row>
    <row r="129" ht="15.75" customHeight="1">
      <c r="A129" s="1" t="s">
        <v>179</v>
      </c>
      <c r="B129" s="5" t="s">
        <v>180</v>
      </c>
      <c r="C129" s="6">
        <v>80620.0</v>
      </c>
      <c r="D129" s="7">
        <v>10685.0</v>
      </c>
      <c r="E129" s="7">
        <v>9200.0</v>
      </c>
      <c r="F129" s="8">
        <v>0.86</v>
      </c>
      <c r="G129" s="1" t="s">
        <v>25</v>
      </c>
      <c r="H129" s="6">
        <v>1.9</v>
      </c>
      <c r="I129" s="6">
        <v>100.0</v>
      </c>
      <c r="J129" s="9" t="s">
        <v>26</v>
      </c>
      <c r="K129" s="9" t="s">
        <v>27</v>
      </c>
      <c r="L129" s="6">
        <v>33.0</v>
      </c>
      <c r="M129" s="6">
        <v>39.98642475</v>
      </c>
      <c r="N129" s="6">
        <v>102.4</v>
      </c>
      <c r="O129" s="6">
        <v>66.4</v>
      </c>
      <c r="P129" s="6">
        <v>176.9</v>
      </c>
      <c r="Q129" s="6">
        <v>2.332</v>
      </c>
      <c r="R129" s="6">
        <v>12.1</v>
      </c>
      <c r="S129" s="18">
        <v>41137.0</v>
      </c>
      <c r="T129" s="11">
        <f t="shared" si="1"/>
        <v>8</v>
      </c>
      <c r="U129" s="11">
        <f t="shared" si="2"/>
        <v>2012</v>
      </c>
      <c r="V129" s="12" t="str">
        <f t="shared" si="3"/>
        <v>August</v>
      </c>
      <c r="W129" s="13">
        <f t="shared" si="4"/>
        <v>861424700</v>
      </c>
    </row>
    <row r="130" ht="15.75" customHeight="1">
      <c r="A130" s="1" t="s">
        <v>179</v>
      </c>
      <c r="B130" s="5" t="s">
        <v>181</v>
      </c>
      <c r="C130" s="6">
        <v>24546.0</v>
      </c>
      <c r="D130" s="7">
        <v>12535.0</v>
      </c>
      <c r="E130" s="7">
        <v>10590.0</v>
      </c>
      <c r="F130" s="8">
        <v>0.84</v>
      </c>
      <c r="G130" s="1" t="s">
        <v>25</v>
      </c>
      <c r="H130" s="6">
        <v>1.9</v>
      </c>
      <c r="I130" s="6">
        <v>100.0</v>
      </c>
      <c r="J130" s="9" t="s">
        <v>26</v>
      </c>
      <c r="K130" s="9" t="s">
        <v>27</v>
      </c>
      <c r="L130" s="6">
        <v>33.0</v>
      </c>
      <c r="M130" s="6">
        <v>40.70007242</v>
      </c>
      <c r="N130" s="6">
        <v>102.4</v>
      </c>
      <c r="O130" s="6">
        <v>66.4</v>
      </c>
      <c r="P130" s="6">
        <v>180.0</v>
      </c>
      <c r="Q130" s="6">
        <v>2.367</v>
      </c>
      <c r="R130" s="6">
        <v>12.1</v>
      </c>
      <c r="S130" s="18">
        <v>40618.0</v>
      </c>
      <c r="T130" s="11">
        <f t="shared" si="1"/>
        <v>3</v>
      </c>
      <c r="U130" s="11">
        <f t="shared" si="2"/>
        <v>2011</v>
      </c>
      <c r="V130" s="12" t="str">
        <f t="shared" si="3"/>
        <v>March</v>
      </c>
      <c r="W130" s="13">
        <f t="shared" si="4"/>
        <v>307684110</v>
      </c>
    </row>
    <row r="131" ht="15.75" customHeight="1">
      <c r="A131" s="1" t="s">
        <v>179</v>
      </c>
      <c r="B131" s="5" t="s">
        <v>182</v>
      </c>
      <c r="C131" s="6">
        <v>5223.0</v>
      </c>
      <c r="D131" s="7">
        <v>14290.0</v>
      </c>
      <c r="E131" s="7">
        <v>10790.0</v>
      </c>
      <c r="F131" s="8">
        <v>0.76</v>
      </c>
      <c r="G131" s="1" t="s">
        <v>25</v>
      </c>
      <c r="H131" s="6">
        <v>1.9</v>
      </c>
      <c r="I131" s="6">
        <v>124.0</v>
      </c>
      <c r="J131" s="9" t="s">
        <v>26</v>
      </c>
      <c r="K131" s="9" t="s">
        <v>27</v>
      </c>
      <c r="L131" s="6">
        <v>31.0</v>
      </c>
      <c r="M131" s="6">
        <v>49.86577367</v>
      </c>
      <c r="N131" s="6">
        <v>102.4</v>
      </c>
      <c r="O131" s="6">
        <v>66.4</v>
      </c>
      <c r="P131" s="6">
        <v>176.9</v>
      </c>
      <c r="Q131" s="6">
        <v>2.452</v>
      </c>
      <c r="R131" s="6">
        <v>12.1</v>
      </c>
      <c r="S131" s="18">
        <v>40558.0</v>
      </c>
      <c r="T131" s="11">
        <f t="shared" si="1"/>
        <v>1</v>
      </c>
      <c r="U131" s="11">
        <f t="shared" si="2"/>
        <v>2011</v>
      </c>
      <c r="V131" s="12" t="str">
        <f t="shared" si="3"/>
        <v>January</v>
      </c>
      <c r="W131" s="13">
        <f t="shared" si="4"/>
        <v>74636670</v>
      </c>
    </row>
    <row r="132" ht="15.75" customHeight="1">
      <c r="A132" s="1" t="s">
        <v>179</v>
      </c>
      <c r="B132" s="5" t="s">
        <v>183</v>
      </c>
      <c r="C132" s="6">
        <v>8472.0</v>
      </c>
      <c r="D132" s="7">
        <v>18835.0</v>
      </c>
      <c r="E132" s="7">
        <v>13700.0</v>
      </c>
      <c r="F132" s="8">
        <v>0.73</v>
      </c>
      <c r="G132" s="1" t="s">
        <v>25</v>
      </c>
      <c r="H132" s="6">
        <v>2.2</v>
      </c>
      <c r="I132" s="6">
        <v>137.0</v>
      </c>
      <c r="J132" s="9" t="s">
        <v>26</v>
      </c>
      <c r="K132" s="9" t="s">
        <v>27</v>
      </c>
      <c r="L132" s="6">
        <v>27.0</v>
      </c>
      <c r="M132" s="6">
        <v>56.29524304</v>
      </c>
      <c r="N132" s="6">
        <v>106.5</v>
      </c>
      <c r="O132" s="6">
        <v>69.0</v>
      </c>
      <c r="P132" s="6">
        <v>190.4</v>
      </c>
      <c r="Q132" s="6">
        <v>3.075</v>
      </c>
      <c r="R132" s="6">
        <v>13.1</v>
      </c>
      <c r="S132" s="20">
        <v>40760.0</v>
      </c>
      <c r="T132" s="11">
        <f t="shared" si="1"/>
        <v>8</v>
      </c>
      <c r="U132" s="11">
        <f t="shared" si="2"/>
        <v>2011</v>
      </c>
      <c r="V132" s="12" t="str">
        <f t="shared" si="3"/>
        <v>August</v>
      </c>
      <c r="W132" s="13">
        <f t="shared" si="4"/>
        <v>159570120</v>
      </c>
    </row>
    <row r="133" ht="15.75" customHeight="1">
      <c r="A133" s="1" t="s">
        <v>179</v>
      </c>
      <c r="B133" s="5" t="s">
        <v>184</v>
      </c>
      <c r="C133" s="6">
        <v>49989.0</v>
      </c>
      <c r="D133" s="7">
        <v>15010.0</v>
      </c>
      <c r="E133" s="7">
        <v>9900.0</v>
      </c>
      <c r="F133" s="8">
        <v>0.66</v>
      </c>
      <c r="G133" s="1" t="s">
        <v>34</v>
      </c>
      <c r="H133" s="6">
        <v>2.2</v>
      </c>
      <c r="I133" s="6">
        <v>137.0</v>
      </c>
      <c r="J133" s="9" t="s">
        <v>26</v>
      </c>
      <c r="K133" s="9" t="s">
        <v>27</v>
      </c>
      <c r="L133" s="6">
        <v>28.0</v>
      </c>
      <c r="M133" s="6">
        <v>54.81972825</v>
      </c>
      <c r="N133" s="6">
        <v>106.5</v>
      </c>
      <c r="O133" s="6">
        <v>69.0</v>
      </c>
      <c r="P133" s="6">
        <v>190.4</v>
      </c>
      <c r="Q133" s="6">
        <v>2.91</v>
      </c>
      <c r="R133" s="6">
        <v>13.1</v>
      </c>
      <c r="S133" s="20">
        <v>41247.0</v>
      </c>
      <c r="T133" s="11">
        <f t="shared" si="1"/>
        <v>12</v>
      </c>
      <c r="U133" s="11">
        <f t="shared" si="2"/>
        <v>2012</v>
      </c>
      <c r="V133" s="12" t="str">
        <f t="shared" si="3"/>
        <v>December</v>
      </c>
      <c r="W133" s="13">
        <f t="shared" si="4"/>
        <v>750334890</v>
      </c>
    </row>
    <row r="134" ht="15.75" customHeight="1">
      <c r="A134" s="1" t="s">
        <v>185</v>
      </c>
      <c r="B134" s="5" t="s">
        <v>186</v>
      </c>
      <c r="C134" s="6">
        <v>47107.0</v>
      </c>
      <c r="D134" s="7">
        <v>22695.0</v>
      </c>
      <c r="E134" s="7">
        <v>16770.0</v>
      </c>
      <c r="F134" s="8">
        <v>0.74</v>
      </c>
      <c r="G134" s="1" t="s">
        <v>25</v>
      </c>
      <c r="H134" s="6">
        <v>2.5</v>
      </c>
      <c r="I134" s="6">
        <v>165.0</v>
      </c>
      <c r="J134" s="9" t="s">
        <v>26</v>
      </c>
      <c r="K134" s="9" t="s">
        <v>27</v>
      </c>
      <c r="L134" s="6">
        <v>25.0</v>
      </c>
      <c r="M134" s="6">
        <v>67.7659076</v>
      </c>
      <c r="N134" s="6">
        <v>103.5</v>
      </c>
      <c r="O134" s="6">
        <v>67.5</v>
      </c>
      <c r="P134" s="6">
        <v>185.8</v>
      </c>
      <c r="Q134" s="6">
        <v>3.415</v>
      </c>
      <c r="R134" s="6">
        <v>16.9</v>
      </c>
      <c r="S134" s="20">
        <v>40731.0</v>
      </c>
      <c r="T134" s="11">
        <f t="shared" si="1"/>
        <v>7</v>
      </c>
      <c r="U134" s="11">
        <f t="shared" si="2"/>
        <v>2011</v>
      </c>
      <c r="V134" s="12" t="str">
        <f t="shared" si="3"/>
        <v>July</v>
      </c>
      <c r="W134" s="13">
        <f t="shared" si="4"/>
        <v>1069093365</v>
      </c>
    </row>
    <row r="135" ht="15.75" customHeight="1">
      <c r="A135" s="1" t="s">
        <v>185</v>
      </c>
      <c r="B135" s="5" t="s">
        <v>187</v>
      </c>
      <c r="C135" s="6">
        <v>33028.0</v>
      </c>
      <c r="D135" s="7">
        <v>20095.0</v>
      </c>
      <c r="E135" s="7">
        <v>14832.0</v>
      </c>
      <c r="F135" s="8">
        <v>0.74</v>
      </c>
      <c r="G135" s="1" t="s">
        <v>25</v>
      </c>
      <c r="H135" s="6">
        <v>2.5</v>
      </c>
      <c r="I135" s="6">
        <v>165.0</v>
      </c>
      <c r="J135" s="9" t="s">
        <v>26</v>
      </c>
      <c r="K135" s="9" t="s">
        <v>51</v>
      </c>
      <c r="L135" s="6">
        <v>24.0</v>
      </c>
      <c r="M135" s="6">
        <v>66.76294331</v>
      </c>
      <c r="N135" s="6">
        <v>99.4</v>
      </c>
      <c r="O135" s="6">
        <v>68.3</v>
      </c>
      <c r="P135" s="6">
        <v>175.2</v>
      </c>
      <c r="Q135" s="6">
        <v>3.125</v>
      </c>
      <c r="R135" s="6">
        <v>15.9</v>
      </c>
      <c r="S135" s="20">
        <v>41162.0</v>
      </c>
      <c r="T135" s="11">
        <f t="shared" si="1"/>
        <v>9</v>
      </c>
      <c r="U135" s="11">
        <f t="shared" si="2"/>
        <v>2012</v>
      </c>
      <c r="V135" s="12" t="str">
        <f t="shared" si="3"/>
        <v>September</v>
      </c>
      <c r="W135" s="13">
        <f t="shared" si="4"/>
        <v>663697660</v>
      </c>
    </row>
    <row r="136" ht="15.75" customHeight="1">
      <c r="A136" s="1" t="s">
        <v>188</v>
      </c>
      <c r="B136" s="5" t="s">
        <v>189</v>
      </c>
      <c r="C136" s="6">
        <v>142535.0</v>
      </c>
      <c r="D136" s="7">
        <v>13108.0</v>
      </c>
      <c r="E136" s="7">
        <v>10025.0</v>
      </c>
      <c r="F136" s="8">
        <v>0.76</v>
      </c>
      <c r="G136" s="1" t="s">
        <v>25</v>
      </c>
      <c r="H136" s="6">
        <v>1.8</v>
      </c>
      <c r="I136" s="6">
        <v>120.0</v>
      </c>
      <c r="J136" s="9" t="s">
        <v>26</v>
      </c>
      <c r="K136" s="9" t="s">
        <v>27</v>
      </c>
      <c r="L136" s="6">
        <v>33.0</v>
      </c>
      <c r="M136" s="6">
        <v>47.96897242</v>
      </c>
      <c r="N136" s="6">
        <v>97.0</v>
      </c>
      <c r="O136" s="6">
        <v>66.7</v>
      </c>
      <c r="P136" s="6">
        <v>174.0</v>
      </c>
      <c r="Q136" s="6">
        <v>2.42</v>
      </c>
      <c r="R136" s="6">
        <v>13.2</v>
      </c>
      <c r="S136" s="20">
        <v>40644.0</v>
      </c>
      <c r="T136" s="11">
        <f t="shared" si="1"/>
        <v>4</v>
      </c>
      <c r="U136" s="11">
        <f t="shared" si="2"/>
        <v>2011</v>
      </c>
      <c r="V136" s="12" t="str">
        <f t="shared" si="3"/>
        <v>April</v>
      </c>
      <c r="W136" s="13">
        <f t="shared" si="4"/>
        <v>1868348780</v>
      </c>
    </row>
    <row r="137" ht="15.75" customHeight="1">
      <c r="A137" s="1" t="s">
        <v>188</v>
      </c>
      <c r="B137" s="5" t="s">
        <v>190</v>
      </c>
      <c r="C137" s="6">
        <v>247994.0</v>
      </c>
      <c r="D137" s="7">
        <v>17518.0</v>
      </c>
      <c r="E137" s="7">
        <v>13245.0</v>
      </c>
      <c r="F137" s="8">
        <v>0.76</v>
      </c>
      <c r="G137" s="1" t="s">
        <v>25</v>
      </c>
      <c r="H137" s="6">
        <v>2.2</v>
      </c>
      <c r="I137" s="6">
        <v>133.0</v>
      </c>
      <c r="J137" s="9" t="s">
        <v>26</v>
      </c>
      <c r="K137" s="9" t="s">
        <v>27</v>
      </c>
      <c r="L137" s="6">
        <v>27.0</v>
      </c>
      <c r="M137" s="6">
        <v>54.37241965</v>
      </c>
      <c r="N137" s="6">
        <v>105.2</v>
      </c>
      <c r="O137" s="6">
        <v>70.1</v>
      </c>
      <c r="P137" s="6">
        <v>188.5</v>
      </c>
      <c r="Q137" s="6">
        <v>2.998</v>
      </c>
      <c r="R137" s="6">
        <v>18.5</v>
      </c>
      <c r="S137" s="20">
        <v>40584.0</v>
      </c>
      <c r="T137" s="11">
        <f t="shared" si="1"/>
        <v>2</v>
      </c>
      <c r="U137" s="11">
        <f t="shared" si="2"/>
        <v>2011</v>
      </c>
      <c r="V137" s="12" t="str">
        <f t="shared" si="3"/>
        <v>February</v>
      </c>
      <c r="W137" s="13">
        <f t="shared" si="4"/>
        <v>4344358892</v>
      </c>
    </row>
    <row r="138" ht="15.75" customHeight="1">
      <c r="A138" s="1" t="s">
        <v>188</v>
      </c>
      <c r="B138" s="5" t="s">
        <v>191</v>
      </c>
      <c r="C138" s="6">
        <v>63849.0</v>
      </c>
      <c r="D138" s="7">
        <v>25545.0</v>
      </c>
      <c r="E138" s="7">
        <v>18140.0</v>
      </c>
      <c r="F138" s="8">
        <v>0.71</v>
      </c>
      <c r="G138" s="1" t="s">
        <v>25</v>
      </c>
      <c r="H138" s="6">
        <v>3.0</v>
      </c>
      <c r="I138" s="6">
        <v>210.0</v>
      </c>
      <c r="J138" s="9" t="s">
        <v>26</v>
      </c>
      <c r="K138" s="9" t="s">
        <v>27</v>
      </c>
      <c r="L138" s="6">
        <v>26.0</v>
      </c>
      <c r="M138" s="6">
        <v>84.91189826</v>
      </c>
      <c r="N138" s="6">
        <v>107.1</v>
      </c>
      <c r="O138" s="6">
        <v>71.7</v>
      </c>
      <c r="P138" s="6">
        <v>191.9</v>
      </c>
      <c r="Q138" s="6">
        <v>3.417</v>
      </c>
      <c r="R138" s="6">
        <v>18.5</v>
      </c>
      <c r="S138" s="18">
        <v>40786.0</v>
      </c>
      <c r="T138" s="11">
        <f t="shared" si="1"/>
        <v>8</v>
      </c>
      <c r="U138" s="11">
        <f t="shared" si="2"/>
        <v>2011</v>
      </c>
      <c r="V138" s="12" t="str">
        <f t="shared" si="3"/>
        <v>August</v>
      </c>
      <c r="W138" s="13">
        <f t="shared" si="4"/>
        <v>1631022705</v>
      </c>
    </row>
    <row r="139" ht="15.75" customHeight="1">
      <c r="A139" s="1" t="s">
        <v>188</v>
      </c>
      <c r="B139" s="5" t="s">
        <v>192</v>
      </c>
      <c r="C139" s="6">
        <v>33269.0</v>
      </c>
      <c r="D139" s="7">
        <v>16875.0</v>
      </c>
      <c r="E139" s="7">
        <v>15445.0</v>
      </c>
      <c r="F139" s="8">
        <v>0.92</v>
      </c>
      <c r="G139" s="1" t="s">
        <v>25</v>
      </c>
      <c r="H139" s="6">
        <v>1.8</v>
      </c>
      <c r="I139" s="6">
        <v>140.0</v>
      </c>
      <c r="J139" s="9" t="s">
        <v>26</v>
      </c>
      <c r="K139" s="9" t="s">
        <v>27</v>
      </c>
      <c r="L139" s="6">
        <v>31.0</v>
      </c>
      <c r="M139" s="6">
        <v>56.49603034</v>
      </c>
      <c r="N139" s="6">
        <v>102.4</v>
      </c>
      <c r="O139" s="6">
        <v>68.3</v>
      </c>
      <c r="P139" s="6">
        <v>170.5</v>
      </c>
      <c r="Q139" s="6">
        <v>2.425</v>
      </c>
      <c r="R139" s="6">
        <v>14.5</v>
      </c>
      <c r="S139" s="19">
        <v>41272.0</v>
      </c>
      <c r="T139" s="11">
        <f t="shared" si="1"/>
        <v>12</v>
      </c>
      <c r="U139" s="11">
        <f t="shared" si="2"/>
        <v>2012</v>
      </c>
      <c r="V139" s="12" t="str">
        <f t="shared" si="3"/>
        <v>December</v>
      </c>
      <c r="W139" s="13">
        <f t="shared" si="4"/>
        <v>561414375</v>
      </c>
    </row>
    <row r="140" ht="15.75" customHeight="1">
      <c r="A140" s="1" t="s">
        <v>188</v>
      </c>
      <c r="B140" s="5" t="s">
        <v>193</v>
      </c>
      <c r="C140" s="6">
        <v>84087.0</v>
      </c>
      <c r="D140" s="7">
        <v>11528.0</v>
      </c>
      <c r="E140" s="7">
        <v>9575.0</v>
      </c>
      <c r="F140" s="8">
        <v>0.83</v>
      </c>
      <c r="G140" s="1" t="s">
        <v>25</v>
      </c>
      <c r="H140" s="6">
        <v>2.4</v>
      </c>
      <c r="I140" s="6">
        <v>142.0</v>
      </c>
      <c r="J140" s="9" t="s">
        <v>26</v>
      </c>
      <c r="K140" s="9" t="s">
        <v>51</v>
      </c>
      <c r="L140" s="6">
        <v>23.0</v>
      </c>
      <c r="M140" s="6">
        <v>55.29711658</v>
      </c>
      <c r="N140" s="6">
        <v>103.3</v>
      </c>
      <c r="O140" s="6">
        <v>66.5</v>
      </c>
      <c r="P140" s="6">
        <v>178.7</v>
      </c>
      <c r="Q140" s="6">
        <v>2.58</v>
      </c>
      <c r="R140" s="6">
        <v>15.1</v>
      </c>
      <c r="S140" s="20">
        <v>40756.0</v>
      </c>
      <c r="T140" s="11">
        <f t="shared" si="1"/>
        <v>8</v>
      </c>
      <c r="U140" s="11">
        <f t="shared" si="2"/>
        <v>2011</v>
      </c>
      <c r="V140" s="12" t="str">
        <f t="shared" si="3"/>
        <v>August</v>
      </c>
      <c r="W140" s="13">
        <f t="shared" si="4"/>
        <v>969354936</v>
      </c>
    </row>
    <row r="141" ht="15.75" customHeight="1">
      <c r="A141" s="1" t="s">
        <v>188</v>
      </c>
      <c r="B141" s="5" t="s">
        <v>194</v>
      </c>
      <c r="C141" s="6">
        <v>65119.0</v>
      </c>
      <c r="D141" s="7">
        <v>22368.0</v>
      </c>
      <c r="E141" s="7">
        <v>18689.0</v>
      </c>
      <c r="F141" s="8">
        <v>0.84</v>
      </c>
      <c r="G141" s="1" t="s">
        <v>25</v>
      </c>
      <c r="H141" s="6">
        <v>3.0</v>
      </c>
      <c r="I141" s="6">
        <v>194.0</v>
      </c>
      <c r="J141" s="9" t="s">
        <v>26</v>
      </c>
      <c r="K141" s="9" t="s">
        <v>51</v>
      </c>
      <c r="L141" s="6">
        <v>22.0</v>
      </c>
      <c r="M141" s="6">
        <v>78.02721947</v>
      </c>
      <c r="N141" s="6">
        <v>114.2</v>
      </c>
      <c r="O141" s="6">
        <v>73.4</v>
      </c>
      <c r="P141" s="6">
        <v>193.5</v>
      </c>
      <c r="Q141" s="6">
        <v>3.759</v>
      </c>
      <c r="R141" s="6">
        <v>20.9</v>
      </c>
      <c r="S141" s="20">
        <v>41187.0</v>
      </c>
      <c r="T141" s="11">
        <f t="shared" si="1"/>
        <v>10</v>
      </c>
      <c r="U141" s="11">
        <f t="shared" si="2"/>
        <v>2012</v>
      </c>
      <c r="V141" s="12" t="str">
        <f t="shared" si="3"/>
        <v>October</v>
      </c>
      <c r="W141" s="13">
        <f t="shared" si="4"/>
        <v>1456581792</v>
      </c>
    </row>
    <row r="142" ht="15.75" customHeight="1">
      <c r="A142" s="1" t="s">
        <v>188</v>
      </c>
      <c r="B142" s="5" t="s">
        <v>195</v>
      </c>
      <c r="C142" s="6">
        <v>25106.0</v>
      </c>
      <c r="D142" s="7">
        <v>16888.0</v>
      </c>
      <c r="E142" s="7">
        <v>13325.0</v>
      </c>
      <c r="F142" s="8">
        <v>0.79</v>
      </c>
      <c r="G142" s="1" t="s">
        <v>25</v>
      </c>
      <c r="H142" s="6">
        <v>2.0</v>
      </c>
      <c r="I142" s="6">
        <v>127.0</v>
      </c>
      <c r="J142" s="9" t="s">
        <v>26</v>
      </c>
      <c r="K142" s="9" t="s">
        <v>51</v>
      </c>
      <c r="L142" s="6">
        <v>27.0</v>
      </c>
      <c r="M142" s="6">
        <v>51.95510887</v>
      </c>
      <c r="N142" s="6">
        <v>94.9</v>
      </c>
      <c r="O142" s="6">
        <v>66.7</v>
      </c>
      <c r="P142" s="6">
        <v>163.8</v>
      </c>
      <c r="Q142" s="6">
        <v>2.668</v>
      </c>
      <c r="R142" s="6">
        <v>15.3</v>
      </c>
      <c r="S142" s="20">
        <v>40669.0</v>
      </c>
      <c r="T142" s="11">
        <f t="shared" si="1"/>
        <v>5</v>
      </c>
      <c r="U142" s="11">
        <f t="shared" si="2"/>
        <v>2011</v>
      </c>
      <c r="V142" s="12" t="str">
        <f t="shared" si="3"/>
        <v>May</v>
      </c>
      <c r="W142" s="13">
        <f t="shared" si="4"/>
        <v>423990128</v>
      </c>
    </row>
    <row r="143" ht="15.75" customHeight="1">
      <c r="A143" s="1" t="s">
        <v>188</v>
      </c>
      <c r="B143" s="5" t="s">
        <v>196</v>
      </c>
      <c r="C143" s="6">
        <v>68411.0</v>
      </c>
      <c r="D143" s="7">
        <v>22288.0</v>
      </c>
      <c r="E143" s="7">
        <v>19425.0</v>
      </c>
      <c r="F143" s="8">
        <v>0.87</v>
      </c>
      <c r="G143" s="1" t="s">
        <v>25</v>
      </c>
      <c r="H143" s="6">
        <v>2.7</v>
      </c>
      <c r="I143" s="6">
        <v>150.0</v>
      </c>
      <c r="J143" s="9" t="s">
        <v>26</v>
      </c>
      <c r="K143" s="9" t="s">
        <v>51</v>
      </c>
      <c r="L143" s="6">
        <v>23.0</v>
      </c>
      <c r="M143" s="6">
        <v>62.35557713</v>
      </c>
      <c r="N143" s="6">
        <v>105.3</v>
      </c>
      <c r="O143" s="6">
        <v>66.5</v>
      </c>
      <c r="P143" s="6">
        <v>183.3</v>
      </c>
      <c r="Q143" s="6">
        <v>3.44</v>
      </c>
      <c r="R143" s="6">
        <v>18.5</v>
      </c>
      <c r="S143" s="20">
        <v>40609.0</v>
      </c>
      <c r="T143" s="11">
        <f t="shared" si="1"/>
        <v>3</v>
      </c>
      <c r="U143" s="11">
        <f t="shared" si="2"/>
        <v>2011</v>
      </c>
      <c r="V143" s="12" t="str">
        <f t="shared" si="3"/>
        <v>March</v>
      </c>
      <c r="W143" s="13">
        <f t="shared" si="4"/>
        <v>1524744368</v>
      </c>
    </row>
    <row r="144" ht="15.75" customHeight="1">
      <c r="A144" s="1" t="s">
        <v>188</v>
      </c>
      <c r="B144" s="5" t="s">
        <v>197</v>
      </c>
      <c r="C144" s="6">
        <v>9835.0</v>
      </c>
      <c r="D144" s="7">
        <v>51728.0</v>
      </c>
      <c r="E144" s="7">
        <v>34080.0</v>
      </c>
      <c r="F144" s="8">
        <v>0.66</v>
      </c>
      <c r="G144" s="1" t="s">
        <v>34</v>
      </c>
      <c r="H144" s="6">
        <v>4.7</v>
      </c>
      <c r="I144" s="6">
        <v>230.0</v>
      </c>
      <c r="J144" s="9" t="s">
        <v>26</v>
      </c>
      <c r="K144" s="9" t="s">
        <v>51</v>
      </c>
      <c r="L144" s="6">
        <v>15.0</v>
      </c>
      <c r="M144" s="6">
        <v>102.5289842</v>
      </c>
      <c r="N144" s="6">
        <v>112.2</v>
      </c>
      <c r="O144" s="6">
        <v>76.4</v>
      </c>
      <c r="P144" s="6">
        <v>192.5</v>
      </c>
      <c r="Q144" s="6">
        <v>5.115</v>
      </c>
      <c r="R144" s="6">
        <v>25.4</v>
      </c>
      <c r="S144" s="18">
        <v>40811.0</v>
      </c>
      <c r="T144" s="11">
        <f t="shared" si="1"/>
        <v>9</v>
      </c>
      <c r="U144" s="11">
        <f t="shared" si="2"/>
        <v>2011</v>
      </c>
      <c r="V144" s="12" t="str">
        <f t="shared" si="3"/>
        <v>September</v>
      </c>
      <c r="W144" s="13">
        <f t="shared" si="4"/>
        <v>508744880</v>
      </c>
    </row>
    <row r="145" ht="15.75" customHeight="1">
      <c r="A145" s="1" t="s">
        <v>198</v>
      </c>
      <c r="B145" s="5" t="s">
        <v>199</v>
      </c>
      <c r="C145" s="6">
        <v>9761.0</v>
      </c>
      <c r="D145" s="7">
        <v>14900.0</v>
      </c>
      <c r="E145" s="7">
        <v>11425.0</v>
      </c>
      <c r="F145" s="8">
        <v>0.77</v>
      </c>
      <c r="G145" s="1" t="s">
        <v>25</v>
      </c>
      <c r="H145" s="6">
        <v>2.0</v>
      </c>
      <c r="I145" s="6">
        <v>115.0</v>
      </c>
      <c r="J145" s="9" t="s">
        <v>26</v>
      </c>
      <c r="K145" s="9" t="s">
        <v>27</v>
      </c>
      <c r="L145" s="6">
        <v>26.0</v>
      </c>
      <c r="M145" s="6">
        <v>46.94387676</v>
      </c>
      <c r="N145" s="6">
        <v>98.9</v>
      </c>
      <c r="O145" s="6">
        <v>68.3</v>
      </c>
      <c r="P145" s="6">
        <v>163.3</v>
      </c>
      <c r="Q145" s="6">
        <v>2.767</v>
      </c>
      <c r="R145" s="6">
        <v>14.5</v>
      </c>
      <c r="S145" s="18">
        <v>40567.0</v>
      </c>
      <c r="T145" s="11">
        <f t="shared" si="1"/>
        <v>1</v>
      </c>
      <c r="U145" s="11">
        <f t="shared" si="2"/>
        <v>2011</v>
      </c>
      <c r="V145" s="12" t="str">
        <f t="shared" si="3"/>
        <v>January</v>
      </c>
      <c r="W145" s="13">
        <f t="shared" si="4"/>
        <v>145438900</v>
      </c>
    </row>
    <row r="146" ht="15.75" customHeight="1">
      <c r="A146" s="1" t="s">
        <v>198</v>
      </c>
      <c r="B146" s="5" t="s">
        <v>200</v>
      </c>
      <c r="C146" s="6">
        <v>83721.0</v>
      </c>
      <c r="D146" s="7">
        <v>16700.0</v>
      </c>
      <c r="E146" s="7">
        <v>13240.0</v>
      </c>
      <c r="F146" s="8">
        <v>0.79</v>
      </c>
      <c r="G146" s="1" t="s">
        <v>25</v>
      </c>
      <c r="H146" s="6">
        <v>2.0</v>
      </c>
      <c r="I146" s="6">
        <v>115.0</v>
      </c>
      <c r="J146" s="9" t="s">
        <v>26</v>
      </c>
      <c r="K146" s="9" t="s">
        <v>27</v>
      </c>
      <c r="L146" s="6">
        <v>26.0</v>
      </c>
      <c r="M146" s="6">
        <v>47.63823666</v>
      </c>
      <c r="N146" s="6">
        <v>98.9</v>
      </c>
      <c r="O146" s="6">
        <v>68.3</v>
      </c>
      <c r="P146" s="6">
        <v>172.3</v>
      </c>
      <c r="Q146" s="6">
        <v>2.853</v>
      </c>
      <c r="R146" s="6">
        <v>14.5</v>
      </c>
      <c r="S146" s="18">
        <v>40782.0</v>
      </c>
      <c r="T146" s="11">
        <f t="shared" si="1"/>
        <v>8</v>
      </c>
      <c r="U146" s="11">
        <f t="shared" si="2"/>
        <v>2011</v>
      </c>
      <c r="V146" s="12" t="str">
        <f t="shared" si="3"/>
        <v>August</v>
      </c>
      <c r="W146" s="13">
        <f t="shared" si="4"/>
        <v>1398140700</v>
      </c>
    </row>
    <row r="147" ht="15.75" customHeight="1">
      <c r="A147" s="1" t="s">
        <v>198</v>
      </c>
      <c r="B147" s="5" t="s">
        <v>201</v>
      </c>
      <c r="C147" s="6">
        <v>51102.0</v>
      </c>
      <c r="D147" s="7">
        <v>21200.0</v>
      </c>
      <c r="E147" s="7">
        <v>16725.0</v>
      </c>
      <c r="F147" s="8">
        <v>0.79</v>
      </c>
      <c r="G147" s="1" t="s">
        <v>25</v>
      </c>
      <c r="H147" s="6">
        <v>1.8</v>
      </c>
      <c r="I147" s="6">
        <v>150.0</v>
      </c>
      <c r="J147" s="9" t="s">
        <v>26</v>
      </c>
      <c r="K147" s="9" t="s">
        <v>27</v>
      </c>
      <c r="L147" s="6">
        <v>27.0</v>
      </c>
      <c r="M147" s="6">
        <v>61.70138136</v>
      </c>
      <c r="N147" s="6">
        <v>106.4</v>
      </c>
      <c r="O147" s="6">
        <v>68.5</v>
      </c>
      <c r="P147" s="6">
        <v>184.1</v>
      </c>
      <c r="Q147" s="6">
        <v>3.043</v>
      </c>
      <c r="R147" s="6">
        <v>16.4</v>
      </c>
      <c r="S147" s="19">
        <v>41212.0</v>
      </c>
      <c r="T147" s="11">
        <f t="shared" si="1"/>
        <v>10</v>
      </c>
      <c r="U147" s="11">
        <f t="shared" si="2"/>
        <v>2012</v>
      </c>
      <c r="V147" s="12" t="str">
        <f t="shared" si="3"/>
        <v>October</v>
      </c>
      <c r="W147" s="13">
        <f t="shared" si="4"/>
        <v>1083362400</v>
      </c>
    </row>
    <row r="148" ht="15.75" customHeight="1">
      <c r="A148" s="1" t="s">
        <v>198</v>
      </c>
      <c r="B148" s="5" t="s">
        <v>202</v>
      </c>
      <c r="C148" s="6">
        <v>9569.0</v>
      </c>
      <c r="D148" s="7">
        <v>19990.0</v>
      </c>
      <c r="E148" s="7">
        <v>16575.0</v>
      </c>
      <c r="F148" s="8">
        <v>0.83</v>
      </c>
      <c r="G148" s="1" t="s">
        <v>25</v>
      </c>
      <c r="H148" s="6">
        <v>2.0</v>
      </c>
      <c r="I148" s="6">
        <v>115.0</v>
      </c>
      <c r="J148" s="9" t="s">
        <v>26</v>
      </c>
      <c r="K148" s="9" t="s">
        <v>27</v>
      </c>
      <c r="L148" s="6">
        <v>26.0</v>
      </c>
      <c r="M148" s="6">
        <v>48.90737225</v>
      </c>
      <c r="N148" s="6">
        <v>97.4</v>
      </c>
      <c r="O148" s="6">
        <v>66.7</v>
      </c>
      <c r="P148" s="6">
        <v>160.4</v>
      </c>
      <c r="Q148" s="6">
        <v>3.079</v>
      </c>
      <c r="R148" s="6">
        <v>13.7</v>
      </c>
      <c r="S148" s="18">
        <v>40694.0</v>
      </c>
      <c r="T148" s="11">
        <f t="shared" si="1"/>
        <v>5</v>
      </c>
      <c r="U148" s="11">
        <f t="shared" si="2"/>
        <v>2011</v>
      </c>
      <c r="V148" s="12" t="str">
        <f t="shared" si="3"/>
        <v>May</v>
      </c>
      <c r="W148" s="13">
        <f t="shared" si="4"/>
        <v>191284310</v>
      </c>
    </row>
    <row r="149" ht="15.75" customHeight="1">
      <c r="A149" s="1" t="s">
        <v>198</v>
      </c>
      <c r="B149" s="5" t="s">
        <v>203</v>
      </c>
      <c r="C149" s="6">
        <v>5596.0</v>
      </c>
      <c r="D149" s="7">
        <v>17500.0</v>
      </c>
      <c r="E149" s="7">
        <v>13760.0</v>
      </c>
      <c r="F149" s="8">
        <v>0.79</v>
      </c>
      <c r="G149" s="1" t="s">
        <v>25</v>
      </c>
      <c r="H149" s="6">
        <v>2.0</v>
      </c>
      <c r="I149" s="6">
        <v>115.0</v>
      </c>
      <c r="J149" s="9" t="s">
        <v>26</v>
      </c>
      <c r="K149" s="9" t="s">
        <v>27</v>
      </c>
      <c r="L149" s="6">
        <v>26.0</v>
      </c>
      <c r="M149" s="6">
        <v>47.94684106</v>
      </c>
      <c r="N149" s="6">
        <v>98.9</v>
      </c>
      <c r="O149" s="6">
        <v>68.3</v>
      </c>
      <c r="P149" s="6">
        <v>163.3</v>
      </c>
      <c r="Q149" s="6">
        <v>2.762</v>
      </c>
      <c r="R149" s="6">
        <v>14.6</v>
      </c>
      <c r="S149" s="20">
        <v>40634.0</v>
      </c>
      <c r="T149" s="11">
        <f t="shared" si="1"/>
        <v>4</v>
      </c>
      <c r="U149" s="11">
        <f t="shared" si="2"/>
        <v>2011</v>
      </c>
      <c r="V149" s="12" t="str">
        <f t="shared" si="3"/>
        <v>April</v>
      </c>
      <c r="W149" s="13">
        <f t="shared" si="4"/>
        <v>97930000</v>
      </c>
    </row>
    <row r="150" ht="15.75" customHeight="1">
      <c r="A150" s="1" t="s">
        <v>198</v>
      </c>
      <c r="B150" s="5" t="s">
        <v>204</v>
      </c>
      <c r="C150" s="6">
        <v>49463.0</v>
      </c>
      <c r="D150" s="7">
        <v>15900.0</v>
      </c>
      <c r="E150" s="7">
        <v>11986.0</v>
      </c>
      <c r="F150" s="8">
        <v>0.75</v>
      </c>
      <c r="G150" s="1" t="s">
        <v>25</v>
      </c>
      <c r="H150" s="6">
        <v>2.0</v>
      </c>
      <c r="I150" s="6">
        <v>115.0</v>
      </c>
      <c r="J150" s="9" t="s">
        <v>26</v>
      </c>
      <c r="K150" s="9" t="s">
        <v>27</v>
      </c>
      <c r="L150" s="6">
        <v>26.0</v>
      </c>
      <c r="M150" s="6">
        <v>47.32963226</v>
      </c>
      <c r="N150" s="6">
        <v>98.9</v>
      </c>
      <c r="O150" s="6">
        <v>67.9</v>
      </c>
      <c r="P150" s="6">
        <v>161.1</v>
      </c>
      <c r="Q150" s="6">
        <v>2.769</v>
      </c>
      <c r="R150" s="6">
        <v>14.5</v>
      </c>
      <c r="S150" s="19">
        <v>40836.0</v>
      </c>
      <c r="T150" s="11">
        <f t="shared" si="1"/>
        <v>10</v>
      </c>
      <c r="U150" s="11">
        <f t="shared" si="2"/>
        <v>2011</v>
      </c>
      <c r="V150" s="12" t="str">
        <f t="shared" si="3"/>
        <v>October</v>
      </c>
      <c r="W150" s="13">
        <f t="shared" si="4"/>
        <v>786461700</v>
      </c>
    </row>
    <row r="151" ht="15.75" customHeight="1">
      <c r="A151" s="1" t="s">
        <v>205</v>
      </c>
      <c r="B151" s="5" t="s">
        <v>206</v>
      </c>
      <c r="C151" s="6">
        <v>16957.0</v>
      </c>
      <c r="D151" s="7">
        <v>23400.0</v>
      </c>
      <c r="E151" s="7">
        <v>14334.0</v>
      </c>
      <c r="F151" s="8">
        <v>0.61</v>
      </c>
      <c r="G151" s="1" t="s">
        <v>34</v>
      </c>
      <c r="H151" s="6">
        <v>1.9</v>
      </c>
      <c r="I151" s="6">
        <v>160.0</v>
      </c>
      <c r="J151" s="9" t="s">
        <v>26</v>
      </c>
      <c r="K151" s="9" t="s">
        <v>27</v>
      </c>
      <c r="L151" s="6">
        <v>25.0</v>
      </c>
      <c r="M151" s="6">
        <v>66.1130568</v>
      </c>
      <c r="N151" s="6">
        <v>100.5</v>
      </c>
      <c r="O151" s="6">
        <v>67.6</v>
      </c>
      <c r="P151" s="6">
        <v>176.6</v>
      </c>
      <c r="Q151" s="6">
        <v>2.998</v>
      </c>
      <c r="R151" s="6">
        <v>15.8</v>
      </c>
      <c r="S151" s="18">
        <v>40592.0</v>
      </c>
      <c r="T151" s="11">
        <f t="shared" si="1"/>
        <v>2</v>
      </c>
      <c r="U151" s="11">
        <f t="shared" si="2"/>
        <v>2011</v>
      </c>
      <c r="V151" s="12" t="str">
        <f t="shared" si="3"/>
        <v>February</v>
      </c>
      <c r="W151" s="13">
        <f t="shared" si="4"/>
        <v>396793800</v>
      </c>
    </row>
    <row r="152" ht="15.75" customHeight="1">
      <c r="A152" s="1" t="s">
        <v>205</v>
      </c>
      <c r="B152" s="5" t="s">
        <v>207</v>
      </c>
      <c r="C152" s="6">
        <v>3545.0</v>
      </c>
      <c r="D152" s="7">
        <v>24400.0</v>
      </c>
      <c r="E152" s="7">
        <v>15252.0</v>
      </c>
      <c r="F152" s="8">
        <v>0.63</v>
      </c>
      <c r="G152" s="1" t="s">
        <v>34</v>
      </c>
      <c r="H152" s="6">
        <v>1.9</v>
      </c>
      <c r="I152" s="6">
        <v>160.0</v>
      </c>
      <c r="J152" s="9" t="s">
        <v>26</v>
      </c>
      <c r="K152" s="9" t="s">
        <v>27</v>
      </c>
      <c r="L152" s="6">
        <v>25.0</v>
      </c>
      <c r="M152" s="6">
        <v>66.4988123</v>
      </c>
      <c r="N152" s="6">
        <v>100.5</v>
      </c>
      <c r="O152" s="6">
        <v>67.6</v>
      </c>
      <c r="P152" s="6">
        <v>176.6</v>
      </c>
      <c r="Q152" s="6">
        <v>3.042</v>
      </c>
      <c r="R152" s="6">
        <v>15.8</v>
      </c>
      <c r="S152" s="18">
        <v>40807.0</v>
      </c>
      <c r="T152" s="11">
        <f t="shared" si="1"/>
        <v>9</v>
      </c>
      <c r="U152" s="11">
        <f t="shared" si="2"/>
        <v>2011</v>
      </c>
      <c r="V152" s="12" t="str">
        <f t="shared" si="3"/>
        <v>September</v>
      </c>
      <c r="W152" s="13">
        <f t="shared" si="4"/>
        <v>86498000</v>
      </c>
    </row>
    <row r="153" ht="15.75" customHeight="1">
      <c r="A153" s="1" t="s">
        <v>205</v>
      </c>
      <c r="B153" s="5" t="s">
        <v>208</v>
      </c>
      <c r="C153" s="6">
        <v>15245.0</v>
      </c>
      <c r="D153" s="7">
        <v>27500.0</v>
      </c>
      <c r="E153" s="7">
        <v>18900.0</v>
      </c>
      <c r="F153" s="8">
        <v>0.69</v>
      </c>
      <c r="G153" s="1" t="s">
        <v>34</v>
      </c>
      <c r="H153" s="6">
        <v>2.4</v>
      </c>
      <c r="I153" s="6">
        <v>168.0</v>
      </c>
      <c r="J153" s="9" t="s">
        <v>26</v>
      </c>
      <c r="K153" s="9" t="s">
        <v>27</v>
      </c>
      <c r="L153" s="6">
        <v>25.0</v>
      </c>
      <c r="M153" s="6">
        <v>70.65449545</v>
      </c>
      <c r="N153" s="6">
        <v>104.9</v>
      </c>
      <c r="O153" s="6">
        <v>69.3</v>
      </c>
      <c r="P153" s="6">
        <v>185.9</v>
      </c>
      <c r="Q153" s="6">
        <v>3.208</v>
      </c>
      <c r="R153" s="6">
        <v>17.9</v>
      </c>
      <c r="S153" s="19">
        <v>41237.0</v>
      </c>
      <c r="T153" s="11">
        <f t="shared" si="1"/>
        <v>11</v>
      </c>
      <c r="U153" s="11">
        <f t="shared" si="2"/>
        <v>2012</v>
      </c>
      <c r="V153" s="12" t="str">
        <f t="shared" si="3"/>
        <v>November</v>
      </c>
      <c r="W153" s="13">
        <f t="shared" si="4"/>
        <v>419237500</v>
      </c>
    </row>
    <row r="154" ht="15.75" customHeight="1">
      <c r="A154" s="1" t="s">
        <v>205</v>
      </c>
      <c r="B154" s="5" t="s">
        <v>209</v>
      </c>
      <c r="C154" s="6">
        <v>17531.0</v>
      </c>
      <c r="D154" s="7">
        <v>28800.0</v>
      </c>
      <c r="E154" s="7">
        <v>20223.0</v>
      </c>
      <c r="F154" s="8">
        <v>0.7</v>
      </c>
      <c r="G154" s="1" t="s">
        <v>25</v>
      </c>
      <c r="H154" s="6">
        <v>2.4</v>
      </c>
      <c r="I154" s="6">
        <v>168.0</v>
      </c>
      <c r="J154" s="9" t="s">
        <v>26</v>
      </c>
      <c r="K154" s="9" t="s">
        <v>27</v>
      </c>
      <c r="L154" s="6">
        <v>25.0</v>
      </c>
      <c r="M154" s="6">
        <v>71.1559776</v>
      </c>
      <c r="N154" s="6">
        <v>104.9</v>
      </c>
      <c r="O154" s="6">
        <v>69.3</v>
      </c>
      <c r="P154" s="6">
        <v>186.2</v>
      </c>
      <c r="Q154" s="6">
        <v>3.259</v>
      </c>
      <c r="R154" s="6">
        <v>17.9</v>
      </c>
      <c r="S154" s="18">
        <v>40719.0</v>
      </c>
      <c r="T154" s="11">
        <f t="shared" si="1"/>
        <v>6</v>
      </c>
      <c r="U154" s="11">
        <f t="shared" si="2"/>
        <v>2011</v>
      </c>
      <c r="V154" s="12" t="str">
        <f t="shared" si="3"/>
        <v>June</v>
      </c>
      <c r="W154" s="13">
        <f t="shared" si="4"/>
        <v>504892800</v>
      </c>
    </row>
    <row r="155" ht="15.75" customHeight="1">
      <c r="A155" s="1" t="s">
        <v>205</v>
      </c>
      <c r="B155" s="5" t="s">
        <v>210</v>
      </c>
      <c r="C155" s="6">
        <v>3493.0</v>
      </c>
      <c r="D155" s="7">
        <v>45500.0</v>
      </c>
      <c r="E155" s="7">
        <v>34175.0</v>
      </c>
      <c r="F155" s="8">
        <v>0.75</v>
      </c>
      <c r="G155" s="1" t="s">
        <v>25</v>
      </c>
      <c r="H155" s="6">
        <v>2.3</v>
      </c>
      <c r="I155" s="6">
        <v>236.0</v>
      </c>
      <c r="J155" s="9" t="s">
        <v>26</v>
      </c>
      <c r="K155" s="9" t="s">
        <v>27</v>
      </c>
      <c r="L155" s="6">
        <v>23.0</v>
      </c>
      <c r="M155" s="6">
        <v>101.6233572</v>
      </c>
      <c r="N155" s="6">
        <v>104.9</v>
      </c>
      <c r="O155" s="6">
        <v>71.5</v>
      </c>
      <c r="P155" s="6">
        <v>185.7</v>
      </c>
      <c r="Q155" s="6">
        <v>3.601</v>
      </c>
      <c r="R155" s="6">
        <v>18.5</v>
      </c>
      <c r="S155" s="18">
        <v>40659.0</v>
      </c>
      <c r="T155" s="11">
        <f t="shared" si="1"/>
        <v>4</v>
      </c>
      <c r="U155" s="11">
        <f t="shared" si="2"/>
        <v>2011</v>
      </c>
      <c r="V155" s="12" t="str">
        <f t="shared" si="3"/>
        <v>April</v>
      </c>
      <c r="W155" s="13">
        <f t="shared" si="4"/>
        <v>158931500</v>
      </c>
    </row>
    <row r="156" ht="15.75" customHeight="1">
      <c r="A156" s="1" t="s">
        <v>205</v>
      </c>
      <c r="B156" s="5" t="s">
        <v>211</v>
      </c>
      <c r="C156" s="6">
        <v>18969.0</v>
      </c>
      <c r="D156" s="7">
        <v>36000.0</v>
      </c>
      <c r="E156" s="7">
        <v>26403.0</v>
      </c>
      <c r="F156" s="8">
        <v>0.73</v>
      </c>
      <c r="G156" s="1" t="s">
        <v>25</v>
      </c>
      <c r="H156" s="6">
        <v>2.9</v>
      </c>
      <c r="I156" s="6">
        <v>201.0</v>
      </c>
      <c r="J156" s="9" t="s">
        <v>26</v>
      </c>
      <c r="K156" s="9" t="s">
        <v>27</v>
      </c>
      <c r="L156" s="6">
        <v>24.0</v>
      </c>
      <c r="M156" s="6">
        <v>85.73565451</v>
      </c>
      <c r="N156" s="6">
        <v>109.9</v>
      </c>
      <c r="O156" s="6">
        <v>72.1</v>
      </c>
      <c r="P156" s="6">
        <v>189.8</v>
      </c>
      <c r="Q156" s="6">
        <v>3.6</v>
      </c>
      <c r="R156" s="6">
        <v>21.1</v>
      </c>
      <c r="S156" s="19">
        <v>40861.0</v>
      </c>
      <c r="T156" s="11">
        <f t="shared" si="1"/>
        <v>11</v>
      </c>
      <c r="U156" s="11">
        <f t="shared" si="2"/>
        <v>2011</v>
      </c>
      <c r="V156" s="12" t="str">
        <f t="shared" si="3"/>
        <v>November</v>
      </c>
      <c r="W156" s="13">
        <f t="shared" si="4"/>
        <v>682884000</v>
      </c>
    </row>
    <row r="157" ht="15.75" customHeight="1">
      <c r="B157" s="22"/>
      <c r="D157" s="23"/>
      <c r="E157" s="23"/>
      <c r="K157" s="22"/>
    </row>
    <row r="158" ht="15.75" customHeight="1">
      <c r="B158" s="22"/>
      <c r="D158" s="23"/>
      <c r="E158" s="23"/>
      <c r="K158" s="22"/>
    </row>
    <row r="159" ht="15.75" customHeight="1">
      <c r="B159" s="22"/>
      <c r="D159" s="23"/>
      <c r="E159" s="23"/>
      <c r="K159" s="22"/>
    </row>
    <row r="160" ht="15.75" customHeight="1">
      <c r="B160" s="22"/>
      <c r="D160" s="23"/>
      <c r="E160" s="23"/>
      <c r="K160" s="22"/>
    </row>
    <row r="161" ht="15.75" customHeight="1">
      <c r="B161" s="22"/>
      <c r="D161" s="23"/>
      <c r="E161" s="23"/>
      <c r="K161" s="22"/>
    </row>
    <row r="162" ht="15.75" customHeight="1">
      <c r="B162" s="22"/>
      <c r="D162" s="23"/>
      <c r="E162" s="23"/>
      <c r="K162" s="22"/>
    </row>
    <row r="163" ht="15.75" customHeight="1">
      <c r="B163" s="22"/>
      <c r="D163" s="23"/>
      <c r="E163" s="23"/>
      <c r="K163" s="22"/>
    </row>
    <row r="164" ht="15.75" customHeight="1">
      <c r="B164" s="22"/>
      <c r="D164" s="23"/>
      <c r="E164" s="23"/>
      <c r="K164" s="22"/>
    </row>
    <row r="165" ht="15.75" customHeight="1">
      <c r="B165" s="22"/>
      <c r="D165" s="23"/>
      <c r="E165" s="23"/>
      <c r="K165" s="22"/>
    </row>
    <row r="166" ht="15.75" customHeight="1">
      <c r="B166" s="22"/>
      <c r="D166" s="23"/>
      <c r="E166" s="23"/>
      <c r="K166" s="22"/>
    </row>
    <row r="167" ht="15.75" customHeight="1">
      <c r="B167" s="22"/>
      <c r="D167" s="23"/>
      <c r="E167" s="23"/>
      <c r="K167" s="22"/>
    </row>
    <row r="168" ht="15.75" customHeight="1">
      <c r="B168" s="22"/>
      <c r="D168" s="23"/>
      <c r="E168" s="23"/>
      <c r="K168" s="22"/>
    </row>
    <row r="169" ht="15.75" customHeight="1">
      <c r="B169" s="22"/>
      <c r="D169" s="23"/>
      <c r="E169" s="23"/>
      <c r="K169" s="22"/>
    </row>
    <row r="170" ht="15.75" customHeight="1">
      <c r="B170" s="22"/>
      <c r="D170" s="23"/>
      <c r="E170" s="23"/>
      <c r="K170" s="22"/>
    </row>
    <row r="171" ht="15.75" customHeight="1">
      <c r="B171" s="22"/>
      <c r="D171" s="23"/>
      <c r="E171" s="23"/>
      <c r="K171" s="22"/>
    </row>
    <row r="172" ht="15.75" customHeight="1">
      <c r="B172" s="22"/>
      <c r="D172" s="23"/>
      <c r="E172" s="23"/>
      <c r="K172" s="22"/>
    </row>
    <row r="173" ht="15.75" customHeight="1">
      <c r="B173" s="22"/>
      <c r="D173" s="23"/>
      <c r="E173" s="23"/>
      <c r="K173" s="22"/>
    </row>
    <row r="174" ht="15.75" customHeight="1">
      <c r="B174" s="22"/>
      <c r="D174" s="23"/>
      <c r="E174" s="23"/>
      <c r="K174" s="22"/>
    </row>
    <row r="175" ht="15.75" customHeight="1">
      <c r="B175" s="22"/>
      <c r="D175" s="23"/>
      <c r="E175" s="23"/>
      <c r="K175" s="22"/>
    </row>
    <row r="176" ht="15.75" customHeight="1">
      <c r="B176" s="22"/>
      <c r="D176" s="23"/>
      <c r="E176" s="23"/>
      <c r="K176" s="22"/>
    </row>
    <row r="177" ht="15.75" customHeight="1">
      <c r="B177" s="22"/>
      <c r="D177" s="23"/>
      <c r="E177" s="23"/>
      <c r="K177" s="22"/>
    </row>
    <row r="178" ht="15.75" customHeight="1">
      <c r="B178" s="22"/>
      <c r="D178" s="23"/>
      <c r="E178" s="23"/>
      <c r="K178" s="22"/>
    </row>
    <row r="179" ht="15.75" customHeight="1">
      <c r="B179" s="22"/>
      <c r="D179" s="23"/>
      <c r="E179" s="23"/>
      <c r="K179" s="22"/>
    </row>
    <row r="180" ht="15.75" customHeight="1">
      <c r="B180" s="22"/>
      <c r="D180" s="23"/>
      <c r="E180" s="23"/>
      <c r="K180" s="22"/>
    </row>
    <row r="181" ht="15.75" customHeight="1">
      <c r="B181" s="22"/>
      <c r="D181" s="23"/>
      <c r="E181" s="23"/>
      <c r="K181" s="22"/>
    </row>
    <row r="182" ht="15.75" customHeight="1">
      <c r="B182" s="22"/>
      <c r="D182" s="23"/>
      <c r="E182" s="23"/>
      <c r="K182" s="22"/>
    </row>
    <row r="183" ht="15.75" customHeight="1">
      <c r="B183" s="22"/>
      <c r="D183" s="23"/>
      <c r="E183" s="23"/>
      <c r="K183" s="22"/>
    </row>
    <row r="184" ht="15.75" customHeight="1">
      <c r="B184" s="22"/>
      <c r="D184" s="23"/>
      <c r="E184" s="23"/>
      <c r="K184" s="22"/>
    </row>
    <row r="185" ht="15.75" customHeight="1">
      <c r="B185" s="22"/>
      <c r="D185" s="23"/>
      <c r="E185" s="23"/>
      <c r="K185" s="22"/>
    </row>
    <row r="186" ht="15.75" customHeight="1">
      <c r="B186" s="22"/>
      <c r="D186" s="23"/>
      <c r="E186" s="23"/>
      <c r="K186" s="22"/>
    </row>
    <row r="187" ht="15.75" customHeight="1">
      <c r="B187" s="22"/>
      <c r="D187" s="23"/>
      <c r="E187" s="23"/>
      <c r="K187" s="22"/>
    </row>
    <row r="188" ht="15.75" customHeight="1">
      <c r="B188" s="22"/>
      <c r="D188" s="23"/>
      <c r="E188" s="23"/>
      <c r="K188" s="22"/>
    </row>
    <row r="189" ht="15.75" customHeight="1">
      <c r="B189" s="22"/>
      <c r="D189" s="23"/>
      <c r="E189" s="23"/>
      <c r="K189" s="22"/>
    </row>
    <row r="190" ht="15.75" customHeight="1">
      <c r="B190" s="22"/>
      <c r="D190" s="23"/>
      <c r="E190" s="23"/>
      <c r="K190" s="22"/>
    </row>
    <row r="191" ht="15.75" customHeight="1">
      <c r="B191" s="22"/>
      <c r="D191" s="23"/>
      <c r="E191" s="23"/>
      <c r="K191" s="22"/>
    </row>
    <row r="192" ht="15.75" customHeight="1">
      <c r="B192" s="22"/>
      <c r="D192" s="23"/>
      <c r="E192" s="23"/>
      <c r="K192" s="22"/>
    </row>
    <row r="193" ht="15.75" customHeight="1">
      <c r="B193" s="22"/>
      <c r="D193" s="23"/>
      <c r="E193" s="23"/>
      <c r="K193" s="22"/>
    </row>
    <row r="194" ht="15.75" customHeight="1">
      <c r="B194" s="22"/>
      <c r="D194" s="23"/>
      <c r="E194" s="23"/>
      <c r="K194" s="22"/>
    </row>
    <row r="195" ht="15.75" customHeight="1">
      <c r="B195" s="22"/>
      <c r="D195" s="23"/>
      <c r="E195" s="23"/>
      <c r="K195" s="22"/>
    </row>
    <row r="196" ht="15.75" customHeight="1">
      <c r="B196" s="22"/>
      <c r="D196" s="23"/>
      <c r="E196" s="23"/>
      <c r="K196" s="22"/>
    </row>
    <row r="197" ht="15.75" customHeight="1">
      <c r="B197" s="22"/>
      <c r="D197" s="23"/>
      <c r="E197" s="23"/>
      <c r="K197" s="22"/>
    </row>
    <row r="198" ht="15.75" customHeight="1">
      <c r="B198" s="22"/>
      <c r="D198" s="23"/>
      <c r="E198" s="23"/>
      <c r="K198" s="22"/>
    </row>
    <row r="199" ht="15.75" customHeight="1">
      <c r="B199" s="22"/>
      <c r="D199" s="23"/>
      <c r="E199" s="23"/>
      <c r="K199" s="22"/>
    </row>
    <row r="200" ht="15.75" customHeight="1">
      <c r="B200" s="22"/>
      <c r="D200" s="23"/>
      <c r="E200" s="23"/>
      <c r="K200" s="22"/>
    </row>
    <row r="201" ht="15.75" customHeight="1">
      <c r="B201" s="22"/>
      <c r="D201" s="23"/>
      <c r="E201" s="23"/>
      <c r="K201" s="22"/>
    </row>
    <row r="202" ht="15.75" customHeight="1">
      <c r="B202" s="22"/>
      <c r="D202" s="23"/>
      <c r="E202" s="23"/>
      <c r="K202" s="22"/>
    </row>
    <row r="203" ht="15.75" customHeight="1">
      <c r="B203" s="22"/>
      <c r="D203" s="23"/>
      <c r="E203" s="23"/>
      <c r="K203" s="22"/>
    </row>
    <row r="204" ht="15.75" customHeight="1">
      <c r="B204" s="22"/>
      <c r="D204" s="23"/>
      <c r="E204" s="23"/>
      <c r="K204" s="22"/>
    </row>
    <row r="205" ht="15.75" customHeight="1">
      <c r="B205" s="22"/>
      <c r="D205" s="23"/>
      <c r="E205" s="23"/>
      <c r="K205" s="22"/>
    </row>
    <row r="206" ht="15.75" customHeight="1">
      <c r="B206" s="22"/>
      <c r="D206" s="23"/>
      <c r="E206" s="23"/>
      <c r="K206" s="22"/>
    </row>
    <row r="207" ht="15.75" customHeight="1">
      <c r="B207" s="22"/>
      <c r="D207" s="23"/>
      <c r="E207" s="23"/>
      <c r="K207" s="22"/>
    </row>
    <row r="208" ht="15.75" customHeight="1">
      <c r="B208" s="22"/>
      <c r="D208" s="23"/>
      <c r="E208" s="23"/>
      <c r="K208" s="22"/>
    </row>
    <row r="209" ht="15.75" customHeight="1">
      <c r="B209" s="22"/>
      <c r="D209" s="23"/>
      <c r="E209" s="23"/>
      <c r="K209" s="22"/>
    </row>
    <row r="210" ht="15.75" customHeight="1">
      <c r="B210" s="22"/>
      <c r="D210" s="23"/>
      <c r="E210" s="23"/>
      <c r="K210" s="22"/>
    </row>
    <row r="211" ht="15.75" customHeight="1">
      <c r="B211" s="22"/>
      <c r="D211" s="23"/>
      <c r="E211" s="23"/>
      <c r="K211" s="22"/>
    </row>
    <row r="212" ht="15.75" customHeight="1">
      <c r="B212" s="22"/>
      <c r="D212" s="23"/>
      <c r="E212" s="23"/>
      <c r="K212" s="22"/>
    </row>
    <row r="213" ht="15.75" customHeight="1">
      <c r="B213" s="22"/>
      <c r="D213" s="23"/>
      <c r="E213" s="23"/>
      <c r="K213" s="22"/>
    </row>
    <row r="214" ht="15.75" customHeight="1">
      <c r="B214" s="22"/>
      <c r="D214" s="23"/>
      <c r="E214" s="23"/>
      <c r="K214" s="22"/>
    </row>
    <row r="215" ht="15.75" customHeight="1">
      <c r="B215" s="22"/>
      <c r="D215" s="23"/>
      <c r="E215" s="23"/>
      <c r="K215" s="22"/>
    </row>
    <row r="216" ht="15.75" customHeight="1">
      <c r="B216" s="22"/>
      <c r="D216" s="23"/>
      <c r="E216" s="23"/>
      <c r="K216" s="22"/>
    </row>
    <row r="217" ht="15.75" customHeight="1">
      <c r="B217" s="22"/>
      <c r="D217" s="23"/>
      <c r="E217" s="23"/>
      <c r="K217" s="22"/>
    </row>
    <row r="218" ht="15.75" customHeight="1">
      <c r="B218" s="22"/>
      <c r="D218" s="23"/>
      <c r="E218" s="23"/>
      <c r="K218" s="22"/>
    </row>
    <row r="219" ht="15.75" customHeight="1">
      <c r="B219" s="22"/>
      <c r="D219" s="23"/>
      <c r="E219" s="23"/>
      <c r="K219" s="22"/>
    </row>
    <row r="220" ht="15.75" customHeight="1">
      <c r="B220" s="22"/>
      <c r="D220" s="23"/>
      <c r="E220" s="23"/>
      <c r="K220" s="22"/>
    </row>
    <row r="221" ht="15.75" customHeight="1">
      <c r="B221" s="22"/>
      <c r="D221" s="23"/>
      <c r="E221" s="23"/>
      <c r="K221" s="22"/>
    </row>
    <row r="222" ht="15.75" customHeight="1">
      <c r="B222" s="22"/>
      <c r="D222" s="23"/>
      <c r="E222" s="23"/>
      <c r="K222" s="22"/>
    </row>
    <row r="223" ht="15.75" customHeight="1">
      <c r="B223" s="22"/>
      <c r="D223" s="23"/>
      <c r="E223" s="23"/>
      <c r="K223" s="22"/>
    </row>
    <row r="224" ht="15.75" customHeight="1">
      <c r="B224" s="22"/>
      <c r="D224" s="23"/>
      <c r="E224" s="23"/>
      <c r="K224" s="22"/>
    </row>
    <row r="225" ht="15.75" customHeight="1">
      <c r="B225" s="22"/>
      <c r="D225" s="23"/>
      <c r="E225" s="23"/>
      <c r="K225" s="22"/>
    </row>
    <row r="226" ht="15.75" customHeight="1">
      <c r="B226" s="22"/>
      <c r="D226" s="23"/>
      <c r="E226" s="23"/>
      <c r="K226" s="22"/>
    </row>
    <row r="227" ht="15.75" customHeight="1">
      <c r="B227" s="22"/>
      <c r="D227" s="23"/>
      <c r="E227" s="23"/>
      <c r="K227" s="22"/>
    </row>
    <row r="228" ht="15.75" customHeight="1">
      <c r="B228" s="22"/>
      <c r="D228" s="23"/>
      <c r="E228" s="23"/>
      <c r="K228" s="22"/>
    </row>
    <row r="229" ht="15.75" customHeight="1">
      <c r="B229" s="22"/>
      <c r="D229" s="23"/>
      <c r="E229" s="23"/>
      <c r="K229" s="22"/>
    </row>
    <row r="230" ht="15.75" customHeight="1">
      <c r="B230" s="22"/>
      <c r="D230" s="23"/>
      <c r="E230" s="23"/>
      <c r="K230" s="22"/>
    </row>
    <row r="231" ht="15.75" customHeight="1">
      <c r="B231" s="22"/>
      <c r="D231" s="23"/>
      <c r="E231" s="23"/>
      <c r="K231" s="22"/>
    </row>
    <row r="232" ht="15.75" customHeight="1">
      <c r="B232" s="22"/>
      <c r="D232" s="23"/>
      <c r="E232" s="23"/>
      <c r="K232" s="22"/>
    </row>
    <row r="233" ht="15.75" customHeight="1">
      <c r="B233" s="22"/>
      <c r="D233" s="23"/>
      <c r="E233" s="23"/>
      <c r="K233" s="22"/>
    </row>
    <row r="234" ht="15.75" customHeight="1">
      <c r="B234" s="22"/>
      <c r="D234" s="23"/>
      <c r="E234" s="23"/>
      <c r="K234" s="22"/>
    </row>
    <row r="235" ht="15.75" customHeight="1">
      <c r="B235" s="22"/>
      <c r="D235" s="23"/>
      <c r="E235" s="23"/>
      <c r="K235" s="22"/>
    </row>
    <row r="236" ht="15.75" customHeight="1">
      <c r="B236" s="22"/>
      <c r="D236" s="23"/>
      <c r="E236" s="23"/>
      <c r="K236" s="22"/>
    </row>
    <row r="237" ht="15.75" customHeight="1">
      <c r="B237" s="22"/>
      <c r="D237" s="23"/>
      <c r="E237" s="23"/>
      <c r="K237" s="22"/>
    </row>
    <row r="238" ht="15.75" customHeight="1">
      <c r="B238" s="22"/>
      <c r="D238" s="23"/>
      <c r="E238" s="23"/>
      <c r="K238" s="22"/>
    </row>
    <row r="239" ht="15.75" customHeight="1">
      <c r="B239" s="22"/>
      <c r="D239" s="23"/>
      <c r="E239" s="23"/>
      <c r="K239" s="22"/>
    </row>
    <row r="240" ht="15.75" customHeight="1">
      <c r="B240" s="22"/>
      <c r="D240" s="23"/>
      <c r="E240" s="23"/>
      <c r="K240" s="22"/>
    </row>
    <row r="241" ht="15.75" customHeight="1">
      <c r="B241" s="22"/>
      <c r="D241" s="23"/>
      <c r="E241" s="23"/>
      <c r="K241" s="22"/>
    </row>
    <row r="242" ht="15.75" customHeight="1">
      <c r="B242" s="22"/>
      <c r="D242" s="23"/>
      <c r="E242" s="23"/>
      <c r="K242" s="22"/>
    </row>
    <row r="243" ht="15.75" customHeight="1">
      <c r="B243" s="22"/>
      <c r="D243" s="23"/>
      <c r="E243" s="23"/>
      <c r="K243" s="22"/>
    </row>
    <row r="244" ht="15.75" customHeight="1">
      <c r="B244" s="22"/>
      <c r="D244" s="23"/>
      <c r="E244" s="23"/>
      <c r="K244" s="22"/>
    </row>
    <row r="245" ht="15.75" customHeight="1">
      <c r="B245" s="22"/>
      <c r="D245" s="23"/>
      <c r="E245" s="23"/>
      <c r="K245" s="22"/>
    </row>
    <row r="246" ht="15.75" customHeight="1">
      <c r="B246" s="22"/>
      <c r="D246" s="23"/>
      <c r="E246" s="23"/>
      <c r="K246" s="22"/>
    </row>
    <row r="247" ht="15.75" customHeight="1">
      <c r="B247" s="22"/>
      <c r="D247" s="23"/>
      <c r="E247" s="23"/>
      <c r="K247" s="22"/>
    </row>
    <row r="248" ht="15.75" customHeight="1">
      <c r="B248" s="22"/>
      <c r="D248" s="23"/>
      <c r="E248" s="23"/>
      <c r="K248" s="22"/>
    </row>
    <row r="249" ht="15.75" customHeight="1">
      <c r="B249" s="22"/>
      <c r="D249" s="23"/>
      <c r="E249" s="23"/>
      <c r="K249" s="22"/>
    </row>
    <row r="250" ht="15.75" customHeight="1">
      <c r="B250" s="22"/>
      <c r="D250" s="23"/>
      <c r="E250" s="23"/>
      <c r="K250" s="22"/>
    </row>
    <row r="251" ht="15.75" customHeight="1">
      <c r="B251" s="22"/>
      <c r="D251" s="23"/>
      <c r="E251" s="23"/>
      <c r="K251" s="22"/>
    </row>
    <row r="252" ht="15.75" customHeight="1">
      <c r="B252" s="22"/>
      <c r="D252" s="23"/>
      <c r="E252" s="23"/>
      <c r="K252" s="22"/>
    </row>
    <row r="253" ht="15.75" customHeight="1">
      <c r="B253" s="22"/>
      <c r="D253" s="23"/>
      <c r="E253" s="23"/>
      <c r="K253" s="22"/>
    </row>
    <row r="254" ht="15.75" customHeight="1">
      <c r="B254" s="22"/>
      <c r="D254" s="23"/>
      <c r="E254" s="23"/>
      <c r="K254" s="22"/>
    </row>
    <row r="255" ht="15.75" customHeight="1">
      <c r="B255" s="22"/>
      <c r="D255" s="23"/>
      <c r="E255" s="23"/>
      <c r="K255" s="22"/>
    </row>
    <row r="256" ht="15.75" customHeight="1">
      <c r="B256" s="22"/>
      <c r="D256" s="23"/>
      <c r="E256" s="23"/>
      <c r="K256" s="22"/>
    </row>
    <row r="257" ht="15.75" customHeight="1">
      <c r="B257" s="22"/>
      <c r="D257" s="23"/>
      <c r="E257" s="23"/>
      <c r="K257" s="22"/>
    </row>
    <row r="258" ht="15.75" customHeight="1">
      <c r="B258" s="22"/>
      <c r="D258" s="23"/>
      <c r="E258" s="23"/>
      <c r="K258" s="22"/>
    </row>
    <row r="259" ht="15.75" customHeight="1">
      <c r="B259" s="22"/>
      <c r="D259" s="23"/>
      <c r="E259" s="23"/>
      <c r="K259" s="22"/>
    </row>
    <row r="260" ht="15.75" customHeight="1">
      <c r="B260" s="22"/>
      <c r="D260" s="23"/>
      <c r="E260" s="23"/>
      <c r="K260" s="22"/>
    </row>
    <row r="261" ht="15.75" customHeight="1">
      <c r="B261" s="22"/>
      <c r="D261" s="23"/>
      <c r="E261" s="23"/>
      <c r="K261" s="22"/>
    </row>
    <row r="262" ht="15.75" customHeight="1">
      <c r="B262" s="22"/>
      <c r="D262" s="23"/>
      <c r="E262" s="23"/>
      <c r="K262" s="22"/>
    </row>
    <row r="263" ht="15.75" customHeight="1">
      <c r="B263" s="22"/>
      <c r="D263" s="23"/>
      <c r="E263" s="23"/>
      <c r="K263" s="22"/>
    </row>
    <row r="264" ht="15.75" customHeight="1">
      <c r="B264" s="22"/>
      <c r="D264" s="23"/>
      <c r="E264" s="23"/>
      <c r="K264" s="22"/>
    </row>
    <row r="265" ht="15.75" customHeight="1">
      <c r="B265" s="22"/>
      <c r="D265" s="23"/>
      <c r="E265" s="23"/>
      <c r="K265" s="22"/>
    </row>
    <row r="266" ht="15.75" customHeight="1">
      <c r="B266" s="22"/>
      <c r="D266" s="23"/>
      <c r="E266" s="23"/>
      <c r="K266" s="22"/>
    </row>
    <row r="267" ht="15.75" customHeight="1">
      <c r="B267" s="22"/>
      <c r="D267" s="23"/>
      <c r="E267" s="23"/>
      <c r="K267" s="22"/>
    </row>
    <row r="268" ht="15.75" customHeight="1">
      <c r="B268" s="22"/>
      <c r="D268" s="23"/>
      <c r="E268" s="23"/>
      <c r="K268" s="22"/>
    </row>
    <row r="269" ht="15.75" customHeight="1">
      <c r="B269" s="22"/>
      <c r="D269" s="23"/>
      <c r="E269" s="23"/>
      <c r="K269" s="22"/>
    </row>
    <row r="270" ht="15.75" customHeight="1">
      <c r="B270" s="22"/>
      <c r="D270" s="23"/>
      <c r="E270" s="23"/>
      <c r="K270" s="22"/>
    </row>
    <row r="271" ht="15.75" customHeight="1">
      <c r="B271" s="22"/>
      <c r="D271" s="23"/>
      <c r="E271" s="23"/>
      <c r="K271" s="22"/>
    </row>
    <row r="272" ht="15.75" customHeight="1">
      <c r="B272" s="22"/>
      <c r="D272" s="23"/>
      <c r="E272" s="23"/>
      <c r="K272" s="22"/>
    </row>
    <row r="273" ht="15.75" customHeight="1">
      <c r="B273" s="22"/>
      <c r="D273" s="23"/>
      <c r="E273" s="23"/>
      <c r="K273" s="22"/>
    </row>
    <row r="274" ht="15.75" customHeight="1">
      <c r="B274" s="22"/>
      <c r="D274" s="23"/>
      <c r="E274" s="23"/>
      <c r="K274" s="22"/>
    </row>
    <row r="275" ht="15.75" customHeight="1">
      <c r="B275" s="22"/>
      <c r="D275" s="23"/>
      <c r="E275" s="23"/>
      <c r="K275" s="22"/>
    </row>
    <row r="276" ht="15.75" customHeight="1">
      <c r="B276" s="22"/>
      <c r="D276" s="23"/>
      <c r="E276" s="23"/>
      <c r="K276" s="22"/>
    </row>
    <row r="277" ht="15.75" customHeight="1">
      <c r="B277" s="22"/>
      <c r="D277" s="23"/>
      <c r="E277" s="23"/>
      <c r="K277" s="22"/>
    </row>
    <row r="278" ht="15.75" customHeight="1">
      <c r="B278" s="22"/>
      <c r="D278" s="23"/>
      <c r="E278" s="23"/>
      <c r="K278" s="22"/>
    </row>
    <row r="279" ht="15.75" customHeight="1">
      <c r="B279" s="22"/>
      <c r="D279" s="23"/>
      <c r="E279" s="23"/>
      <c r="K279" s="22"/>
    </row>
    <row r="280" ht="15.75" customHeight="1">
      <c r="B280" s="22"/>
      <c r="D280" s="23"/>
      <c r="E280" s="23"/>
      <c r="K280" s="22"/>
    </row>
    <row r="281" ht="15.75" customHeight="1">
      <c r="B281" s="22"/>
      <c r="D281" s="23"/>
      <c r="E281" s="23"/>
      <c r="K281" s="22"/>
    </row>
    <row r="282" ht="15.75" customHeight="1">
      <c r="B282" s="22"/>
      <c r="D282" s="23"/>
      <c r="E282" s="23"/>
      <c r="K282" s="22"/>
    </row>
    <row r="283" ht="15.75" customHeight="1">
      <c r="B283" s="22"/>
      <c r="D283" s="23"/>
      <c r="E283" s="23"/>
      <c r="K283" s="22"/>
    </row>
    <row r="284" ht="15.75" customHeight="1">
      <c r="B284" s="22"/>
      <c r="D284" s="23"/>
      <c r="E284" s="23"/>
      <c r="K284" s="22"/>
    </row>
    <row r="285" ht="15.75" customHeight="1">
      <c r="B285" s="22"/>
      <c r="D285" s="23"/>
      <c r="E285" s="23"/>
      <c r="K285" s="22"/>
    </row>
    <row r="286" ht="15.75" customHeight="1">
      <c r="B286" s="22"/>
      <c r="D286" s="23"/>
      <c r="E286" s="23"/>
      <c r="K286" s="22"/>
    </row>
    <row r="287" ht="15.75" customHeight="1">
      <c r="B287" s="22"/>
      <c r="D287" s="23"/>
      <c r="E287" s="23"/>
      <c r="K287" s="22"/>
    </row>
    <row r="288" ht="15.75" customHeight="1">
      <c r="B288" s="22"/>
      <c r="D288" s="23"/>
      <c r="E288" s="23"/>
      <c r="K288" s="22"/>
    </row>
    <row r="289" ht="15.75" customHeight="1">
      <c r="B289" s="22"/>
      <c r="D289" s="23"/>
      <c r="E289" s="23"/>
      <c r="K289" s="22"/>
    </row>
    <row r="290" ht="15.75" customHeight="1">
      <c r="B290" s="22"/>
      <c r="D290" s="23"/>
      <c r="E290" s="23"/>
      <c r="K290" s="22"/>
    </row>
    <row r="291" ht="15.75" customHeight="1">
      <c r="B291" s="22"/>
      <c r="D291" s="23"/>
      <c r="E291" s="23"/>
      <c r="K291" s="22"/>
    </row>
    <row r="292" ht="15.75" customHeight="1">
      <c r="B292" s="22"/>
      <c r="D292" s="23"/>
      <c r="E292" s="23"/>
      <c r="K292" s="22"/>
    </row>
    <row r="293" ht="15.75" customHeight="1">
      <c r="B293" s="22"/>
      <c r="D293" s="23"/>
      <c r="E293" s="23"/>
      <c r="K293" s="22"/>
    </row>
    <row r="294" ht="15.75" customHeight="1">
      <c r="B294" s="22"/>
      <c r="D294" s="23"/>
      <c r="E294" s="23"/>
      <c r="K294" s="22"/>
    </row>
    <row r="295" ht="15.75" customHeight="1">
      <c r="B295" s="22"/>
      <c r="D295" s="23"/>
      <c r="E295" s="23"/>
      <c r="K295" s="22"/>
    </row>
    <row r="296" ht="15.75" customHeight="1">
      <c r="B296" s="22"/>
      <c r="D296" s="23"/>
      <c r="E296" s="23"/>
      <c r="K296" s="22"/>
    </row>
    <row r="297" ht="15.75" customHeight="1">
      <c r="B297" s="22"/>
      <c r="D297" s="23"/>
      <c r="E297" s="23"/>
      <c r="K297" s="22"/>
    </row>
    <row r="298" ht="15.75" customHeight="1">
      <c r="B298" s="22"/>
      <c r="D298" s="23"/>
      <c r="E298" s="23"/>
      <c r="K298" s="22"/>
    </row>
    <row r="299" ht="15.75" customHeight="1">
      <c r="B299" s="22"/>
      <c r="D299" s="23"/>
      <c r="E299" s="23"/>
      <c r="K299" s="22"/>
    </row>
    <row r="300" ht="15.75" customHeight="1">
      <c r="B300" s="22"/>
      <c r="D300" s="23"/>
      <c r="E300" s="23"/>
      <c r="K300" s="22"/>
    </row>
    <row r="301" ht="15.75" customHeight="1">
      <c r="B301" s="22"/>
      <c r="D301" s="23"/>
      <c r="E301" s="23"/>
      <c r="K301" s="22"/>
    </row>
    <row r="302" ht="15.75" customHeight="1">
      <c r="B302" s="22"/>
      <c r="D302" s="23"/>
      <c r="E302" s="23"/>
      <c r="K302" s="22"/>
    </row>
    <row r="303" ht="15.75" customHeight="1">
      <c r="B303" s="22"/>
      <c r="D303" s="23"/>
      <c r="E303" s="23"/>
      <c r="K303" s="22"/>
    </row>
    <row r="304" ht="15.75" customHeight="1">
      <c r="B304" s="22"/>
      <c r="D304" s="23"/>
      <c r="E304" s="23"/>
      <c r="K304" s="22"/>
    </row>
    <row r="305" ht="15.75" customHeight="1">
      <c r="B305" s="22"/>
      <c r="D305" s="23"/>
      <c r="E305" s="23"/>
      <c r="K305" s="22"/>
    </row>
    <row r="306" ht="15.75" customHeight="1">
      <c r="B306" s="22"/>
      <c r="D306" s="23"/>
      <c r="E306" s="23"/>
      <c r="K306" s="22"/>
    </row>
    <row r="307" ht="15.75" customHeight="1">
      <c r="B307" s="22"/>
      <c r="D307" s="23"/>
      <c r="E307" s="23"/>
      <c r="K307" s="22"/>
    </row>
    <row r="308" ht="15.75" customHeight="1">
      <c r="B308" s="22"/>
      <c r="D308" s="23"/>
      <c r="E308" s="23"/>
      <c r="K308" s="22"/>
    </row>
    <row r="309" ht="15.75" customHeight="1">
      <c r="B309" s="22"/>
      <c r="D309" s="23"/>
      <c r="E309" s="23"/>
      <c r="K309" s="22"/>
    </row>
    <row r="310" ht="15.75" customHeight="1">
      <c r="B310" s="22"/>
      <c r="D310" s="23"/>
      <c r="E310" s="23"/>
      <c r="K310" s="22"/>
    </row>
    <row r="311" ht="15.75" customHeight="1">
      <c r="B311" s="22"/>
      <c r="D311" s="23"/>
      <c r="E311" s="23"/>
      <c r="K311" s="22"/>
    </row>
    <row r="312" ht="15.75" customHeight="1">
      <c r="B312" s="22"/>
      <c r="D312" s="23"/>
      <c r="E312" s="23"/>
      <c r="K312" s="22"/>
    </row>
    <row r="313" ht="15.75" customHeight="1">
      <c r="B313" s="22"/>
      <c r="D313" s="23"/>
      <c r="E313" s="23"/>
      <c r="K313" s="22"/>
    </row>
    <row r="314" ht="15.75" customHeight="1">
      <c r="B314" s="22"/>
      <c r="D314" s="23"/>
      <c r="E314" s="23"/>
      <c r="K314" s="22"/>
    </row>
    <row r="315" ht="15.75" customHeight="1">
      <c r="B315" s="22"/>
      <c r="D315" s="23"/>
      <c r="E315" s="23"/>
      <c r="K315" s="22"/>
    </row>
    <row r="316" ht="15.75" customHeight="1">
      <c r="B316" s="22"/>
      <c r="D316" s="23"/>
      <c r="E316" s="23"/>
      <c r="K316" s="22"/>
    </row>
    <row r="317" ht="15.75" customHeight="1">
      <c r="B317" s="22"/>
      <c r="D317" s="23"/>
      <c r="E317" s="23"/>
      <c r="K317" s="22"/>
    </row>
    <row r="318" ht="15.75" customHeight="1">
      <c r="B318" s="22"/>
      <c r="D318" s="23"/>
      <c r="E318" s="23"/>
      <c r="K318" s="22"/>
    </row>
    <row r="319" ht="15.75" customHeight="1">
      <c r="B319" s="22"/>
      <c r="D319" s="23"/>
      <c r="E319" s="23"/>
      <c r="K319" s="22"/>
    </row>
    <row r="320" ht="15.75" customHeight="1">
      <c r="B320" s="22"/>
      <c r="D320" s="23"/>
      <c r="E320" s="23"/>
      <c r="K320" s="22"/>
    </row>
    <row r="321" ht="15.75" customHeight="1">
      <c r="B321" s="22"/>
      <c r="D321" s="23"/>
      <c r="E321" s="23"/>
      <c r="K321" s="22"/>
    </row>
    <row r="322" ht="15.75" customHeight="1">
      <c r="B322" s="22"/>
      <c r="D322" s="23"/>
      <c r="E322" s="23"/>
      <c r="K322" s="22"/>
    </row>
    <row r="323" ht="15.75" customHeight="1">
      <c r="B323" s="22"/>
      <c r="D323" s="23"/>
      <c r="E323" s="23"/>
      <c r="K323" s="22"/>
    </row>
    <row r="324" ht="15.75" customHeight="1">
      <c r="B324" s="22"/>
      <c r="D324" s="23"/>
      <c r="E324" s="23"/>
      <c r="K324" s="22"/>
    </row>
    <row r="325" ht="15.75" customHeight="1">
      <c r="B325" s="22"/>
      <c r="D325" s="23"/>
      <c r="E325" s="23"/>
      <c r="K325" s="22"/>
    </row>
    <row r="326" ht="15.75" customHeight="1">
      <c r="B326" s="22"/>
      <c r="D326" s="23"/>
      <c r="E326" s="23"/>
      <c r="K326" s="22"/>
    </row>
    <row r="327" ht="15.75" customHeight="1">
      <c r="B327" s="22"/>
      <c r="D327" s="23"/>
      <c r="E327" s="23"/>
      <c r="K327" s="22"/>
    </row>
    <row r="328" ht="15.75" customHeight="1">
      <c r="B328" s="22"/>
      <c r="D328" s="23"/>
      <c r="E328" s="23"/>
      <c r="K328" s="22"/>
    </row>
    <row r="329" ht="15.75" customHeight="1">
      <c r="B329" s="22"/>
      <c r="D329" s="23"/>
      <c r="E329" s="23"/>
      <c r="K329" s="22"/>
    </row>
    <row r="330" ht="15.75" customHeight="1">
      <c r="B330" s="22"/>
      <c r="D330" s="23"/>
      <c r="E330" s="23"/>
      <c r="K330" s="22"/>
    </row>
    <row r="331" ht="15.75" customHeight="1">
      <c r="B331" s="22"/>
      <c r="D331" s="23"/>
      <c r="E331" s="23"/>
      <c r="K331" s="22"/>
    </row>
    <row r="332" ht="15.75" customHeight="1">
      <c r="B332" s="22"/>
      <c r="D332" s="23"/>
      <c r="E332" s="23"/>
      <c r="K332" s="22"/>
    </row>
    <row r="333" ht="15.75" customHeight="1">
      <c r="B333" s="22"/>
      <c r="D333" s="23"/>
      <c r="E333" s="23"/>
      <c r="K333" s="22"/>
    </row>
    <row r="334" ht="15.75" customHeight="1">
      <c r="B334" s="22"/>
      <c r="D334" s="23"/>
      <c r="E334" s="23"/>
      <c r="K334" s="22"/>
    </row>
    <row r="335" ht="15.75" customHeight="1">
      <c r="B335" s="22"/>
      <c r="D335" s="23"/>
      <c r="E335" s="23"/>
      <c r="K335" s="22"/>
    </row>
    <row r="336" ht="15.75" customHeight="1">
      <c r="B336" s="22"/>
      <c r="D336" s="23"/>
      <c r="E336" s="23"/>
      <c r="K336" s="22"/>
    </row>
    <row r="337" ht="15.75" customHeight="1">
      <c r="B337" s="22"/>
      <c r="D337" s="23"/>
      <c r="E337" s="23"/>
      <c r="K337" s="22"/>
    </row>
    <row r="338" ht="15.75" customHeight="1">
      <c r="B338" s="22"/>
      <c r="D338" s="23"/>
      <c r="E338" s="23"/>
      <c r="K338" s="22"/>
    </row>
    <row r="339" ht="15.75" customHeight="1">
      <c r="B339" s="22"/>
      <c r="D339" s="23"/>
      <c r="E339" s="23"/>
      <c r="K339" s="22"/>
    </row>
    <row r="340" ht="15.75" customHeight="1">
      <c r="B340" s="22"/>
      <c r="D340" s="23"/>
      <c r="E340" s="23"/>
      <c r="K340" s="22"/>
    </row>
    <row r="341" ht="15.75" customHeight="1">
      <c r="B341" s="22"/>
      <c r="D341" s="23"/>
      <c r="E341" s="23"/>
      <c r="K341" s="22"/>
    </row>
    <row r="342" ht="15.75" customHeight="1">
      <c r="B342" s="22"/>
      <c r="D342" s="23"/>
      <c r="E342" s="23"/>
      <c r="K342" s="22"/>
    </row>
    <row r="343" ht="15.75" customHeight="1">
      <c r="B343" s="22"/>
      <c r="D343" s="23"/>
      <c r="E343" s="23"/>
      <c r="K343" s="22"/>
    </row>
    <row r="344" ht="15.75" customHeight="1">
      <c r="B344" s="22"/>
      <c r="D344" s="23"/>
      <c r="E344" s="23"/>
      <c r="K344" s="22"/>
    </row>
    <row r="345" ht="15.75" customHeight="1">
      <c r="B345" s="22"/>
      <c r="D345" s="23"/>
      <c r="E345" s="23"/>
      <c r="K345" s="22"/>
    </row>
    <row r="346" ht="15.75" customHeight="1">
      <c r="B346" s="22"/>
      <c r="D346" s="23"/>
      <c r="E346" s="23"/>
      <c r="K346" s="22"/>
    </row>
    <row r="347" ht="15.75" customHeight="1">
      <c r="B347" s="22"/>
      <c r="D347" s="23"/>
      <c r="E347" s="23"/>
      <c r="K347" s="22"/>
    </row>
    <row r="348" ht="15.75" customHeight="1">
      <c r="B348" s="22"/>
      <c r="D348" s="23"/>
      <c r="E348" s="23"/>
      <c r="K348" s="22"/>
    </row>
    <row r="349" ht="15.75" customHeight="1">
      <c r="B349" s="22"/>
      <c r="D349" s="23"/>
      <c r="E349" s="23"/>
      <c r="K349" s="22"/>
    </row>
    <row r="350" ht="15.75" customHeight="1">
      <c r="B350" s="22"/>
      <c r="D350" s="23"/>
      <c r="E350" s="23"/>
      <c r="K350" s="22"/>
    </row>
    <row r="351" ht="15.75" customHeight="1">
      <c r="B351" s="22"/>
      <c r="D351" s="23"/>
      <c r="E351" s="23"/>
      <c r="K351" s="22"/>
    </row>
    <row r="352" ht="15.75" customHeight="1">
      <c r="B352" s="22"/>
      <c r="D352" s="23"/>
      <c r="E352" s="23"/>
      <c r="K352" s="22"/>
    </row>
    <row r="353" ht="15.75" customHeight="1">
      <c r="B353" s="22"/>
      <c r="D353" s="23"/>
      <c r="E353" s="23"/>
      <c r="K353" s="22"/>
    </row>
    <row r="354" ht="15.75" customHeight="1">
      <c r="B354" s="22"/>
      <c r="D354" s="23"/>
      <c r="E354" s="23"/>
      <c r="K354" s="22"/>
    </row>
    <row r="355" ht="15.75" customHeight="1">
      <c r="B355" s="22"/>
      <c r="D355" s="23"/>
      <c r="E355" s="23"/>
      <c r="K355" s="22"/>
    </row>
    <row r="356" ht="15.75" customHeight="1">
      <c r="B356" s="22"/>
      <c r="D356" s="23"/>
      <c r="E356" s="23"/>
      <c r="K356" s="22"/>
    </row>
    <row r="357" ht="15.75" customHeight="1">
      <c r="B357" s="24"/>
      <c r="K357" s="24"/>
    </row>
    <row r="358" ht="15.75" customHeight="1">
      <c r="B358" s="24"/>
      <c r="K358" s="24"/>
    </row>
    <row r="359" ht="15.75" customHeight="1">
      <c r="B359" s="24"/>
      <c r="K359" s="24"/>
    </row>
    <row r="360" ht="15.75" customHeight="1">
      <c r="B360" s="24"/>
      <c r="K360" s="24"/>
    </row>
    <row r="361" ht="15.75" customHeight="1">
      <c r="B361" s="24"/>
      <c r="K361" s="24"/>
    </row>
    <row r="362" ht="15.75" customHeight="1">
      <c r="B362" s="24"/>
      <c r="K362" s="24"/>
    </row>
    <row r="363" ht="15.75" customHeight="1">
      <c r="B363" s="24"/>
      <c r="K363" s="24"/>
    </row>
    <row r="364" ht="15.75" customHeight="1">
      <c r="B364" s="24"/>
      <c r="K364" s="24"/>
    </row>
    <row r="365" ht="15.75" customHeight="1">
      <c r="B365" s="24"/>
      <c r="K365" s="24"/>
    </row>
    <row r="366" ht="15.75" customHeight="1">
      <c r="B366" s="24"/>
      <c r="K366" s="24"/>
    </row>
    <row r="367" ht="15.75" customHeight="1">
      <c r="B367" s="24"/>
      <c r="K367" s="24"/>
    </row>
    <row r="368" ht="15.75" customHeight="1">
      <c r="B368" s="24"/>
      <c r="K368" s="24"/>
    </row>
    <row r="369" ht="15.75" customHeight="1">
      <c r="B369" s="24"/>
      <c r="K369" s="24"/>
    </row>
    <row r="370" ht="15.75" customHeight="1">
      <c r="B370" s="24"/>
      <c r="K370" s="24"/>
    </row>
    <row r="371" ht="15.75" customHeight="1">
      <c r="B371" s="24"/>
      <c r="K371" s="24"/>
    </row>
    <row r="372" ht="15.75" customHeight="1">
      <c r="B372" s="24"/>
      <c r="K372" s="24"/>
    </row>
    <row r="373" ht="15.75" customHeight="1">
      <c r="B373" s="24"/>
      <c r="K373" s="24"/>
    </row>
    <row r="374" ht="15.75" customHeight="1">
      <c r="B374" s="24"/>
      <c r="K374" s="24"/>
    </row>
    <row r="375" ht="15.75" customHeight="1">
      <c r="B375" s="24"/>
      <c r="K375" s="24"/>
    </row>
    <row r="376" ht="15.75" customHeight="1">
      <c r="B376" s="24"/>
      <c r="K376" s="24"/>
    </row>
    <row r="377" ht="15.75" customHeight="1">
      <c r="B377" s="24"/>
      <c r="K377" s="24"/>
    </row>
    <row r="378" ht="15.75" customHeight="1">
      <c r="B378" s="24"/>
      <c r="K378" s="24"/>
    </row>
    <row r="379" ht="15.75" customHeight="1">
      <c r="B379" s="24"/>
      <c r="K379" s="24"/>
    </row>
    <row r="380" ht="15.75" customHeight="1">
      <c r="B380" s="24"/>
      <c r="K380" s="24"/>
    </row>
    <row r="381" ht="15.75" customHeight="1">
      <c r="B381" s="24"/>
      <c r="K381" s="24"/>
    </row>
    <row r="382" ht="15.75" customHeight="1">
      <c r="B382" s="24"/>
      <c r="K382" s="24"/>
    </row>
    <row r="383" ht="15.75" customHeight="1">
      <c r="B383" s="24"/>
      <c r="K383" s="24"/>
    </row>
    <row r="384" ht="15.75" customHeight="1">
      <c r="B384" s="24"/>
      <c r="K384" s="24"/>
    </row>
    <row r="385" ht="15.75" customHeight="1">
      <c r="B385" s="24"/>
      <c r="K385" s="24"/>
    </row>
    <row r="386" ht="15.75" customHeight="1">
      <c r="B386" s="24"/>
      <c r="K386" s="24"/>
    </row>
    <row r="387" ht="15.75" customHeight="1">
      <c r="B387" s="24"/>
      <c r="K387" s="24"/>
    </row>
    <row r="388" ht="15.75" customHeight="1">
      <c r="B388" s="24"/>
      <c r="K388" s="24"/>
    </row>
    <row r="389" ht="15.75" customHeight="1">
      <c r="B389" s="24"/>
      <c r="K389" s="24"/>
    </row>
    <row r="390" ht="15.75" customHeight="1">
      <c r="B390" s="24"/>
      <c r="K390" s="24"/>
    </row>
    <row r="391" ht="15.75" customHeight="1">
      <c r="B391" s="24"/>
      <c r="K391" s="24"/>
    </row>
    <row r="392" ht="15.75" customHeight="1">
      <c r="B392" s="24"/>
      <c r="K392" s="24"/>
    </row>
    <row r="393" ht="15.75" customHeight="1">
      <c r="B393" s="24"/>
      <c r="K393" s="24"/>
    </row>
    <row r="394" ht="15.75" customHeight="1">
      <c r="B394" s="24"/>
      <c r="K394" s="24"/>
    </row>
    <row r="395" ht="15.75" customHeight="1">
      <c r="B395" s="24"/>
      <c r="K395" s="24"/>
    </row>
    <row r="396" ht="15.75" customHeight="1">
      <c r="B396" s="24"/>
      <c r="K396" s="24"/>
    </row>
    <row r="397" ht="15.75" customHeight="1">
      <c r="B397" s="24"/>
      <c r="K397" s="24"/>
    </row>
    <row r="398" ht="15.75" customHeight="1">
      <c r="B398" s="24"/>
      <c r="K398" s="24"/>
    </row>
    <row r="399" ht="15.75" customHeight="1">
      <c r="B399" s="24"/>
      <c r="K399" s="24"/>
    </row>
    <row r="400" ht="15.75" customHeight="1">
      <c r="B400" s="24"/>
      <c r="K400" s="24"/>
    </row>
    <row r="401" ht="15.75" customHeight="1">
      <c r="B401" s="24"/>
      <c r="K401" s="24"/>
    </row>
    <row r="402" ht="15.75" customHeight="1">
      <c r="B402" s="24"/>
      <c r="K402" s="24"/>
    </row>
    <row r="403" ht="15.75" customHeight="1">
      <c r="B403" s="24"/>
      <c r="K403" s="24"/>
    </row>
    <row r="404" ht="15.75" customHeight="1">
      <c r="B404" s="24"/>
      <c r="K404" s="24"/>
    </row>
    <row r="405" ht="15.75" customHeight="1">
      <c r="B405" s="24"/>
      <c r="K405" s="24"/>
    </row>
    <row r="406" ht="15.75" customHeight="1">
      <c r="B406" s="24"/>
      <c r="K406" s="24"/>
    </row>
    <row r="407" ht="15.75" customHeight="1">
      <c r="B407" s="24"/>
      <c r="K407" s="24"/>
    </row>
    <row r="408" ht="15.75" customHeight="1">
      <c r="B408" s="24"/>
      <c r="K408" s="24"/>
    </row>
    <row r="409" ht="15.75" customHeight="1">
      <c r="B409" s="24"/>
      <c r="K409" s="24"/>
    </row>
    <row r="410" ht="15.75" customHeight="1">
      <c r="B410" s="24"/>
      <c r="K410" s="24"/>
    </row>
    <row r="411" ht="15.75" customHeight="1">
      <c r="B411" s="24"/>
      <c r="K411" s="24"/>
    </row>
    <row r="412" ht="15.75" customHeight="1">
      <c r="B412" s="24"/>
      <c r="K412" s="24"/>
    </row>
    <row r="413" ht="15.75" customHeight="1">
      <c r="B413" s="24"/>
      <c r="K413" s="24"/>
    </row>
    <row r="414" ht="15.75" customHeight="1">
      <c r="B414" s="24"/>
      <c r="K414" s="24"/>
    </row>
    <row r="415" ht="15.75" customHeight="1">
      <c r="B415" s="24"/>
      <c r="K415" s="24"/>
    </row>
    <row r="416" ht="15.75" customHeight="1">
      <c r="B416" s="24"/>
      <c r="K416" s="24"/>
    </row>
    <row r="417" ht="15.75" customHeight="1">
      <c r="B417" s="24"/>
      <c r="K417" s="24"/>
    </row>
    <row r="418" ht="15.75" customHeight="1">
      <c r="B418" s="24"/>
      <c r="K418" s="24"/>
    </row>
    <row r="419" ht="15.75" customHeight="1">
      <c r="B419" s="24"/>
      <c r="K419" s="24"/>
    </row>
    <row r="420" ht="15.75" customHeight="1">
      <c r="B420" s="24"/>
      <c r="K420" s="24"/>
    </row>
    <row r="421" ht="15.75" customHeight="1">
      <c r="B421" s="24"/>
      <c r="K421" s="24"/>
    </row>
    <row r="422" ht="15.75" customHeight="1">
      <c r="B422" s="24"/>
      <c r="K422" s="24"/>
    </row>
    <row r="423" ht="15.75" customHeight="1">
      <c r="B423" s="24"/>
      <c r="K423" s="24"/>
    </row>
    <row r="424" ht="15.75" customHeight="1">
      <c r="B424" s="24"/>
      <c r="K424" s="24"/>
    </row>
    <row r="425" ht="15.75" customHeight="1">
      <c r="B425" s="24"/>
      <c r="K425" s="24"/>
    </row>
    <row r="426" ht="15.75" customHeight="1">
      <c r="B426" s="24"/>
      <c r="K426" s="24"/>
    </row>
    <row r="427" ht="15.75" customHeight="1">
      <c r="B427" s="24"/>
      <c r="K427" s="24"/>
    </row>
    <row r="428" ht="15.75" customHeight="1">
      <c r="B428" s="24"/>
      <c r="K428" s="24"/>
    </row>
    <row r="429" ht="15.75" customHeight="1">
      <c r="B429" s="24"/>
      <c r="K429" s="24"/>
    </row>
    <row r="430" ht="15.75" customHeight="1">
      <c r="B430" s="24"/>
      <c r="K430" s="24"/>
    </row>
    <row r="431" ht="15.75" customHeight="1">
      <c r="B431" s="24"/>
      <c r="K431" s="24"/>
    </row>
    <row r="432" ht="15.75" customHeight="1">
      <c r="B432" s="24"/>
      <c r="K432" s="24"/>
    </row>
    <row r="433" ht="15.75" customHeight="1">
      <c r="B433" s="24"/>
      <c r="K433" s="24"/>
    </row>
    <row r="434" ht="15.75" customHeight="1">
      <c r="B434" s="24"/>
      <c r="K434" s="24"/>
    </row>
    <row r="435" ht="15.75" customHeight="1">
      <c r="B435" s="24"/>
      <c r="K435" s="24"/>
    </row>
    <row r="436" ht="15.75" customHeight="1">
      <c r="B436" s="24"/>
      <c r="K436" s="24"/>
    </row>
    <row r="437" ht="15.75" customHeight="1">
      <c r="B437" s="24"/>
      <c r="K437" s="24"/>
    </row>
    <row r="438" ht="15.75" customHeight="1">
      <c r="B438" s="24"/>
      <c r="K438" s="24"/>
    </row>
    <row r="439" ht="15.75" customHeight="1">
      <c r="B439" s="24"/>
      <c r="K439" s="24"/>
    </row>
    <row r="440" ht="15.75" customHeight="1">
      <c r="B440" s="24"/>
      <c r="K440" s="24"/>
    </row>
    <row r="441" ht="15.75" customHeight="1">
      <c r="B441" s="24"/>
      <c r="K441" s="24"/>
    </row>
    <row r="442" ht="15.75" customHeight="1">
      <c r="B442" s="24"/>
      <c r="K442" s="24"/>
    </row>
    <row r="443" ht="15.75" customHeight="1">
      <c r="B443" s="24"/>
      <c r="K443" s="24"/>
    </row>
    <row r="444" ht="15.75" customHeight="1">
      <c r="B444" s="24"/>
      <c r="K444" s="24"/>
    </row>
    <row r="445" ht="15.75" customHeight="1">
      <c r="B445" s="24"/>
      <c r="K445" s="24"/>
    </row>
    <row r="446" ht="15.75" customHeight="1">
      <c r="B446" s="24"/>
      <c r="K446" s="24"/>
    </row>
    <row r="447" ht="15.75" customHeight="1">
      <c r="B447" s="24"/>
      <c r="K447" s="24"/>
    </row>
    <row r="448" ht="15.75" customHeight="1">
      <c r="B448" s="24"/>
      <c r="K448" s="24"/>
    </row>
    <row r="449" ht="15.75" customHeight="1">
      <c r="B449" s="24"/>
      <c r="K449" s="24"/>
    </row>
    <row r="450" ht="15.75" customHeight="1">
      <c r="B450" s="24"/>
      <c r="K450" s="24"/>
    </row>
    <row r="451" ht="15.75" customHeight="1">
      <c r="B451" s="24"/>
      <c r="K451" s="24"/>
    </row>
    <row r="452" ht="15.75" customHeight="1">
      <c r="B452" s="24"/>
      <c r="K452" s="24"/>
    </row>
    <row r="453" ht="15.75" customHeight="1">
      <c r="B453" s="24"/>
      <c r="K453" s="24"/>
    </row>
    <row r="454" ht="15.75" customHeight="1">
      <c r="B454" s="24"/>
      <c r="K454" s="24"/>
    </row>
    <row r="455" ht="15.75" customHeight="1">
      <c r="B455" s="24"/>
      <c r="K455" s="24"/>
    </row>
    <row r="456" ht="15.75" customHeight="1">
      <c r="B456" s="24"/>
      <c r="K456" s="24"/>
    </row>
    <row r="457" ht="15.75" customHeight="1">
      <c r="B457" s="24"/>
      <c r="K457" s="24"/>
    </row>
    <row r="458" ht="15.75" customHeight="1">
      <c r="B458" s="24"/>
      <c r="K458" s="24"/>
    </row>
    <row r="459" ht="15.75" customHeight="1">
      <c r="B459" s="24"/>
      <c r="K459" s="24"/>
    </row>
    <row r="460" ht="15.75" customHeight="1">
      <c r="B460" s="24"/>
      <c r="K460" s="24"/>
    </row>
    <row r="461" ht="15.75" customHeight="1">
      <c r="B461" s="24"/>
      <c r="K461" s="24"/>
    </row>
    <row r="462" ht="15.75" customHeight="1">
      <c r="B462" s="24"/>
      <c r="K462" s="24"/>
    </row>
    <row r="463" ht="15.75" customHeight="1">
      <c r="B463" s="24"/>
      <c r="K463" s="24"/>
    </row>
    <row r="464" ht="15.75" customHeight="1">
      <c r="B464" s="24"/>
      <c r="K464" s="24"/>
    </row>
    <row r="465" ht="15.75" customHeight="1">
      <c r="B465" s="24"/>
      <c r="K465" s="24"/>
    </row>
    <row r="466" ht="15.75" customHeight="1">
      <c r="B466" s="24"/>
      <c r="K466" s="24"/>
    </row>
    <row r="467" ht="15.75" customHeight="1">
      <c r="B467" s="24"/>
      <c r="K467" s="24"/>
    </row>
    <row r="468" ht="15.75" customHeight="1">
      <c r="B468" s="24"/>
      <c r="K468" s="24"/>
    </row>
    <row r="469" ht="15.75" customHeight="1">
      <c r="B469" s="24"/>
      <c r="K469" s="24"/>
    </row>
    <row r="470" ht="15.75" customHeight="1">
      <c r="B470" s="24"/>
      <c r="K470" s="24"/>
    </row>
    <row r="471" ht="15.75" customHeight="1">
      <c r="B471" s="24"/>
      <c r="K471" s="24"/>
    </row>
    <row r="472" ht="15.75" customHeight="1">
      <c r="B472" s="24"/>
      <c r="K472" s="24"/>
    </row>
    <row r="473" ht="15.75" customHeight="1">
      <c r="B473" s="24"/>
      <c r="K473" s="24"/>
    </row>
    <row r="474" ht="15.75" customHeight="1">
      <c r="B474" s="24"/>
      <c r="K474" s="24"/>
    </row>
    <row r="475" ht="15.75" customHeight="1">
      <c r="B475" s="24"/>
      <c r="K475" s="24"/>
    </row>
    <row r="476" ht="15.75" customHeight="1">
      <c r="B476" s="24"/>
      <c r="K476" s="24"/>
    </row>
    <row r="477" ht="15.75" customHeight="1">
      <c r="B477" s="24"/>
      <c r="K477" s="24"/>
    </row>
    <row r="478" ht="15.75" customHeight="1">
      <c r="B478" s="24"/>
      <c r="K478" s="24"/>
    </row>
    <row r="479" ht="15.75" customHeight="1">
      <c r="B479" s="24"/>
      <c r="K479" s="24"/>
    </row>
    <row r="480" ht="15.75" customHeight="1">
      <c r="B480" s="24"/>
      <c r="K480" s="24"/>
    </row>
    <row r="481" ht="15.75" customHeight="1">
      <c r="B481" s="24"/>
      <c r="K481" s="24"/>
    </row>
    <row r="482" ht="15.75" customHeight="1">
      <c r="B482" s="24"/>
      <c r="K482" s="24"/>
    </row>
    <row r="483" ht="15.75" customHeight="1">
      <c r="B483" s="24"/>
      <c r="K483" s="24"/>
    </row>
    <row r="484" ht="15.75" customHeight="1">
      <c r="B484" s="24"/>
      <c r="K484" s="24"/>
    </row>
    <row r="485" ht="15.75" customHeight="1">
      <c r="B485" s="24"/>
      <c r="K485" s="24"/>
    </row>
    <row r="486" ht="15.75" customHeight="1">
      <c r="B486" s="24"/>
      <c r="K486" s="24"/>
    </row>
    <row r="487" ht="15.75" customHeight="1">
      <c r="B487" s="24"/>
      <c r="K487" s="24"/>
    </row>
    <row r="488" ht="15.75" customHeight="1">
      <c r="B488" s="24"/>
      <c r="K488" s="24"/>
    </row>
    <row r="489" ht="15.75" customHeight="1">
      <c r="B489" s="24"/>
      <c r="K489" s="24"/>
    </row>
    <row r="490" ht="15.75" customHeight="1">
      <c r="B490" s="24"/>
      <c r="K490" s="24"/>
    </row>
    <row r="491" ht="15.75" customHeight="1">
      <c r="B491" s="24"/>
      <c r="K491" s="24"/>
    </row>
    <row r="492" ht="15.75" customHeight="1">
      <c r="B492" s="24"/>
      <c r="K492" s="24"/>
    </row>
    <row r="493" ht="15.75" customHeight="1">
      <c r="B493" s="24"/>
      <c r="K493" s="24"/>
    </row>
    <row r="494" ht="15.75" customHeight="1">
      <c r="B494" s="24"/>
      <c r="K494" s="24"/>
    </row>
    <row r="495" ht="15.75" customHeight="1">
      <c r="B495" s="24"/>
      <c r="K495" s="24"/>
    </row>
    <row r="496" ht="15.75" customHeight="1">
      <c r="B496" s="24"/>
      <c r="K496" s="24"/>
    </row>
    <row r="497" ht="15.75" customHeight="1">
      <c r="B497" s="24"/>
      <c r="K497" s="24"/>
    </row>
    <row r="498" ht="15.75" customHeight="1">
      <c r="B498" s="24"/>
      <c r="K498" s="24"/>
    </row>
    <row r="499" ht="15.75" customHeight="1">
      <c r="B499" s="24"/>
      <c r="K499" s="24"/>
    </row>
    <row r="500" ht="15.75" customHeight="1">
      <c r="B500" s="24"/>
      <c r="K500" s="24"/>
    </row>
    <row r="501" ht="15.75" customHeight="1">
      <c r="B501" s="24"/>
      <c r="K501" s="24"/>
    </row>
    <row r="502" ht="15.75" customHeight="1">
      <c r="B502" s="24"/>
      <c r="K502" s="24"/>
    </row>
    <row r="503" ht="15.75" customHeight="1">
      <c r="B503" s="24"/>
      <c r="K503" s="24"/>
    </row>
    <row r="504" ht="15.75" customHeight="1">
      <c r="B504" s="24"/>
      <c r="K504" s="24"/>
    </row>
    <row r="505" ht="15.75" customHeight="1">
      <c r="B505" s="24"/>
      <c r="K505" s="24"/>
    </row>
    <row r="506" ht="15.75" customHeight="1">
      <c r="B506" s="24"/>
      <c r="K506" s="24"/>
    </row>
    <row r="507" ht="15.75" customHeight="1">
      <c r="B507" s="24"/>
      <c r="K507" s="24"/>
    </row>
    <row r="508" ht="15.75" customHeight="1">
      <c r="B508" s="24"/>
      <c r="K508" s="24"/>
    </row>
    <row r="509" ht="15.75" customHeight="1">
      <c r="B509" s="24"/>
      <c r="K509" s="24"/>
    </row>
    <row r="510" ht="15.75" customHeight="1">
      <c r="B510" s="24"/>
      <c r="K510" s="24"/>
    </row>
    <row r="511" ht="15.75" customHeight="1">
      <c r="B511" s="24"/>
      <c r="K511" s="24"/>
    </row>
    <row r="512" ht="15.75" customHeight="1">
      <c r="B512" s="24"/>
      <c r="K512" s="24"/>
    </row>
    <row r="513" ht="15.75" customHeight="1">
      <c r="B513" s="24"/>
      <c r="K513" s="24"/>
    </row>
    <row r="514" ht="15.75" customHeight="1">
      <c r="B514" s="24"/>
      <c r="K514" s="24"/>
    </row>
    <row r="515" ht="15.75" customHeight="1">
      <c r="B515" s="24"/>
      <c r="K515" s="24"/>
    </row>
    <row r="516" ht="15.75" customHeight="1">
      <c r="B516" s="24"/>
      <c r="K516" s="24"/>
    </row>
    <row r="517" ht="15.75" customHeight="1">
      <c r="B517" s="24"/>
      <c r="K517" s="24"/>
    </row>
    <row r="518" ht="15.75" customHeight="1">
      <c r="B518" s="24"/>
      <c r="K518" s="24"/>
    </row>
    <row r="519" ht="15.75" customHeight="1">
      <c r="B519" s="24"/>
      <c r="K519" s="24"/>
    </row>
    <row r="520" ht="15.75" customHeight="1">
      <c r="B520" s="24"/>
      <c r="K520" s="24"/>
    </row>
    <row r="521" ht="15.75" customHeight="1">
      <c r="B521" s="24"/>
      <c r="K521" s="24"/>
    </row>
    <row r="522" ht="15.75" customHeight="1">
      <c r="B522" s="24"/>
      <c r="K522" s="24"/>
    </row>
    <row r="523" ht="15.75" customHeight="1">
      <c r="B523" s="24"/>
      <c r="K523" s="24"/>
    </row>
    <row r="524" ht="15.75" customHeight="1">
      <c r="B524" s="24"/>
      <c r="K524" s="24"/>
    </row>
    <row r="525" ht="15.75" customHeight="1">
      <c r="B525" s="24"/>
      <c r="K525" s="24"/>
    </row>
    <row r="526" ht="15.75" customHeight="1">
      <c r="B526" s="24"/>
      <c r="K526" s="24"/>
    </row>
    <row r="527" ht="15.75" customHeight="1">
      <c r="B527" s="24"/>
      <c r="K527" s="24"/>
    </row>
    <row r="528" ht="15.75" customHeight="1">
      <c r="B528" s="24"/>
      <c r="K528" s="24"/>
    </row>
    <row r="529" ht="15.75" customHeight="1">
      <c r="B529" s="24"/>
      <c r="K529" s="24"/>
    </row>
    <row r="530" ht="15.75" customHeight="1">
      <c r="B530" s="24"/>
      <c r="K530" s="24"/>
    </row>
    <row r="531" ht="15.75" customHeight="1">
      <c r="B531" s="24"/>
      <c r="K531" s="24"/>
    </row>
    <row r="532" ht="15.75" customHeight="1">
      <c r="B532" s="24"/>
      <c r="K532" s="24"/>
    </row>
    <row r="533" ht="15.75" customHeight="1">
      <c r="B533" s="24"/>
      <c r="K533" s="24"/>
    </row>
    <row r="534" ht="15.75" customHeight="1">
      <c r="B534" s="24"/>
      <c r="K534" s="24"/>
    </row>
    <row r="535" ht="15.75" customHeight="1">
      <c r="B535" s="24"/>
      <c r="K535" s="24"/>
    </row>
    <row r="536" ht="15.75" customHeight="1">
      <c r="B536" s="24"/>
      <c r="K536" s="24"/>
    </row>
    <row r="537" ht="15.75" customHeight="1">
      <c r="B537" s="24"/>
      <c r="K537" s="24"/>
    </row>
    <row r="538" ht="15.75" customHeight="1">
      <c r="B538" s="24"/>
      <c r="K538" s="24"/>
    </row>
    <row r="539" ht="15.75" customHeight="1">
      <c r="B539" s="24"/>
      <c r="K539" s="24"/>
    </row>
    <row r="540" ht="15.75" customHeight="1">
      <c r="B540" s="24"/>
      <c r="K540" s="24"/>
    </row>
    <row r="541" ht="15.75" customHeight="1">
      <c r="B541" s="24"/>
      <c r="K541" s="24"/>
    </row>
    <row r="542" ht="15.75" customHeight="1">
      <c r="B542" s="24"/>
      <c r="K542" s="24"/>
    </row>
    <row r="543" ht="15.75" customHeight="1">
      <c r="B543" s="24"/>
      <c r="K543" s="24"/>
    </row>
    <row r="544" ht="15.75" customHeight="1">
      <c r="B544" s="24"/>
      <c r="K544" s="24"/>
    </row>
    <row r="545" ht="15.75" customHeight="1">
      <c r="B545" s="24"/>
      <c r="K545" s="24"/>
    </row>
    <row r="546" ht="15.75" customHeight="1">
      <c r="B546" s="24"/>
      <c r="K546" s="24"/>
    </row>
    <row r="547" ht="15.75" customHeight="1">
      <c r="B547" s="24"/>
      <c r="K547" s="24"/>
    </row>
    <row r="548" ht="15.75" customHeight="1">
      <c r="B548" s="24"/>
      <c r="K548" s="24"/>
    </row>
    <row r="549" ht="15.75" customHeight="1">
      <c r="B549" s="24"/>
      <c r="K549" s="24"/>
    </row>
    <row r="550" ht="15.75" customHeight="1">
      <c r="B550" s="24"/>
      <c r="K550" s="24"/>
    </row>
    <row r="551" ht="15.75" customHeight="1">
      <c r="B551" s="24"/>
      <c r="K551" s="24"/>
    </row>
    <row r="552" ht="15.75" customHeight="1">
      <c r="B552" s="24"/>
      <c r="K552" s="24"/>
    </row>
    <row r="553" ht="15.75" customHeight="1">
      <c r="B553" s="24"/>
      <c r="K553" s="24"/>
    </row>
    <row r="554" ht="15.75" customHeight="1">
      <c r="B554" s="24"/>
      <c r="K554" s="24"/>
    </row>
    <row r="555" ht="15.75" customHeight="1">
      <c r="B555" s="24"/>
      <c r="K555" s="24"/>
    </row>
    <row r="556" ht="15.75" customHeight="1">
      <c r="B556" s="24"/>
      <c r="K556" s="24"/>
    </row>
    <row r="557" ht="15.75" customHeight="1">
      <c r="B557" s="24"/>
      <c r="K557" s="24"/>
    </row>
    <row r="558" ht="15.75" customHeight="1">
      <c r="B558" s="24"/>
      <c r="K558" s="24"/>
    </row>
    <row r="559" ht="15.75" customHeight="1">
      <c r="B559" s="24"/>
      <c r="K559" s="24"/>
    </row>
    <row r="560" ht="15.75" customHeight="1">
      <c r="B560" s="24"/>
      <c r="K560" s="24"/>
    </row>
    <row r="561" ht="15.75" customHeight="1">
      <c r="B561" s="24"/>
      <c r="K561" s="24"/>
    </row>
    <row r="562" ht="15.75" customHeight="1">
      <c r="B562" s="24"/>
      <c r="K562" s="24"/>
    </row>
    <row r="563" ht="15.75" customHeight="1">
      <c r="B563" s="24"/>
      <c r="K563" s="24"/>
    </row>
    <row r="564" ht="15.75" customHeight="1">
      <c r="B564" s="24"/>
      <c r="K564" s="24"/>
    </row>
    <row r="565" ht="15.75" customHeight="1">
      <c r="B565" s="24"/>
      <c r="K565" s="24"/>
    </row>
    <row r="566" ht="15.75" customHeight="1">
      <c r="B566" s="24"/>
      <c r="K566" s="24"/>
    </row>
    <row r="567" ht="15.75" customHeight="1">
      <c r="B567" s="24"/>
      <c r="K567" s="24"/>
    </row>
    <row r="568" ht="15.75" customHeight="1">
      <c r="B568" s="24"/>
      <c r="K568" s="24"/>
    </row>
    <row r="569" ht="15.75" customHeight="1">
      <c r="B569" s="24"/>
      <c r="K569" s="24"/>
    </row>
    <row r="570" ht="15.75" customHeight="1">
      <c r="B570" s="24"/>
      <c r="K570" s="24"/>
    </row>
    <row r="571" ht="15.75" customHeight="1">
      <c r="B571" s="24"/>
      <c r="K571" s="24"/>
    </row>
    <row r="572" ht="15.75" customHeight="1">
      <c r="B572" s="24"/>
      <c r="K572" s="24"/>
    </row>
    <row r="573" ht="15.75" customHeight="1">
      <c r="B573" s="24"/>
      <c r="K573" s="24"/>
    </row>
    <row r="574" ht="15.75" customHeight="1">
      <c r="B574" s="24"/>
      <c r="K574" s="24"/>
    </row>
    <row r="575" ht="15.75" customHeight="1">
      <c r="B575" s="24"/>
      <c r="K575" s="24"/>
    </row>
    <row r="576" ht="15.75" customHeight="1">
      <c r="B576" s="24"/>
      <c r="K576" s="24"/>
    </row>
    <row r="577" ht="15.75" customHeight="1">
      <c r="B577" s="24"/>
      <c r="K577" s="24"/>
    </row>
    <row r="578" ht="15.75" customHeight="1">
      <c r="B578" s="24"/>
      <c r="K578" s="24"/>
    </row>
    <row r="579" ht="15.75" customHeight="1">
      <c r="B579" s="24"/>
      <c r="K579" s="24"/>
    </row>
    <row r="580" ht="15.75" customHeight="1">
      <c r="B580" s="24"/>
      <c r="K580" s="24"/>
    </row>
    <row r="581" ht="15.75" customHeight="1">
      <c r="B581" s="24"/>
      <c r="K581" s="24"/>
    </row>
    <row r="582" ht="15.75" customHeight="1">
      <c r="B582" s="24"/>
      <c r="K582" s="24"/>
    </row>
    <row r="583" ht="15.75" customHeight="1">
      <c r="B583" s="24"/>
      <c r="K583" s="24"/>
    </row>
    <row r="584" ht="15.75" customHeight="1">
      <c r="B584" s="24"/>
      <c r="K584" s="24"/>
    </row>
    <row r="585" ht="15.75" customHeight="1">
      <c r="B585" s="24"/>
      <c r="K585" s="24"/>
    </row>
    <row r="586" ht="15.75" customHeight="1">
      <c r="B586" s="24"/>
      <c r="K586" s="24"/>
    </row>
    <row r="587" ht="15.75" customHeight="1">
      <c r="B587" s="24"/>
      <c r="K587" s="24"/>
    </row>
    <row r="588" ht="15.75" customHeight="1">
      <c r="B588" s="24"/>
      <c r="K588" s="24"/>
    </row>
    <row r="589" ht="15.75" customHeight="1">
      <c r="B589" s="24"/>
      <c r="K589" s="24"/>
    </row>
    <row r="590" ht="15.75" customHeight="1">
      <c r="B590" s="24"/>
      <c r="K590" s="24"/>
    </row>
    <row r="591" ht="15.75" customHeight="1">
      <c r="B591" s="24"/>
      <c r="K591" s="24"/>
    </row>
    <row r="592" ht="15.75" customHeight="1">
      <c r="B592" s="24"/>
      <c r="K592" s="24"/>
    </row>
    <row r="593" ht="15.75" customHeight="1">
      <c r="B593" s="24"/>
      <c r="K593" s="24"/>
    </row>
    <row r="594" ht="15.75" customHeight="1">
      <c r="B594" s="24"/>
      <c r="K594" s="24"/>
    </row>
    <row r="595" ht="15.75" customHeight="1">
      <c r="B595" s="24"/>
      <c r="K595" s="24"/>
    </row>
    <row r="596" ht="15.75" customHeight="1">
      <c r="B596" s="24"/>
      <c r="K596" s="24"/>
    </row>
    <row r="597" ht="15.75" customHeight="1">
      <c r="B597" s="24"/>
      <c r="K597" s="24"/>
    </row>
    <row r="598" ht="15.75" customHeight="1">
      <c r="B598" s="24"/>
      <c r="K598" s="24"/>
    </row>
    <row r="599" ht="15.75" customHeight="1">
      <c r="B599" s="24"/>
      <c r="K599" s="24"/>
    </row>
    <row r="600" ht="15.75" customHeight="1">
      <c r="B600" s="24"/>
      <c r="K600" s="24"/>
    </row>
    <row r="601" ht="15.75" customHeight="1">
      <c r="B601" s="24"/>
      <c r="K601" s="24"/>
    </row>
    <row r="602" ht="15.75" customHeight="1">
      <c r="B602" s="24"/>
      <c r="K602" s="24"/>
    </row>
    <row r="603" ht="15.75" customHeight="1">
      <c r="B603" s="24"/>
      <c r="K603" s="24"/>
    </row>
    <row r="604" ht="15.75" customHeight="1">
      <c r="B604" s="24"/>
      <c r="K604" s="24"/>
    </row>
    <row r="605" ht="15.75" customHeight="1">
      <c r="B605" s="24"/>
      <c r="K605" s="24"/>
    </row>
    <row r="606" ht="15.75" customHeight="1">
      <c r="B606" s="24"/>
      <c r="K606" s="24"/>
    </row>
    <row r="607" ht="15.75" customHeight="1">
      <c r="B607" s="24"/>
      <c r="K607" s="24"/>
    </row>
    <row r="608" ht="15.75" customHeight="1">
      <c r="B608" s="24"/>
      <c r="K608" s="24"/>
    </row>
    <row r="609" ht="15.75" customHeight="1">
      <c r="B609" s="24"/>
      <c r="K609" s="24"/>
    </row>
    <row r="610" ht="15.75" customHeight="1">
      <c r="B610" s="24"/>
      <c r="K610" s="24"/>
    </row>
    <row r="611" ht="15.75" customHeight="1">
      <c r="B611" s="24"/>
      <c r="K611" s="24"/>
    </row>
    <row r="612" ht="15.75" customHeight="1">
      <c r="B612" s="24"/>
      <c r="K612" s="24"/>
    </row>
    <row r="613" ht="15.75" customHeight="1">
      <c r="B613" s="24"/>
      <c r="K613" s="24"/>
    </row>
    <row r="614" ht="15.75" customHeight="1">
      <c r="B614" s="24"/>
      <c r="K614" s="24"/>
    </row>
    <row r="615" ht="15.75" customHeight="1">
      <c r="B615" s="24"/>
      <c r="K615" s="24"/>
    </row>
    <row r="616" ht="15.75" customHeight="1">
      <c r="B616" s="24"/>
      <c r="K616" s="24"/>
    </row>
    <row r="617" ht="15.75" customHeight="1">
      <c r="B617" s="24"/>
      <c r="K617" s="24"/>
    </row>
    <row r="618" ht="15.75" customHeight="1">
      <c r="B618" s="24"/>
      <c r="K618" s="24"/>
    </row>
    <row r="619" ht="15.75" customHeight="1">
      <c r="B619" s="24"/>
      <c r="K619" s="24"/>
    </row>
    <row r="620" ht="15.75" customHeight="1">
      <c r="B620" s="24"/>
      <c r="K620" s="24"/>
    </row>
    <row r="621" ht="15.75" customHeight="1">
      <c r="B621" s="24"/>
      <c r="K621" s="24"/>
    </row>
    <row r="622" ht="15.75" customHeight="1">
      <c r="B622" s="24"/>
      <c r="K622" s="24"/>
    </row>
    <row r="623" ht="15.75" customHeight="1">
      <c r="B623" s="24"/>
      <c r="K623" s="24"/>
    </row>
    <row r="624" ht="15.75" customHeight="1">
      <c r="B624" s="24"/>
      <c r="K624" s="24"/>
    </row>
    <row r="625" ht="15.75" customHeight="1">
      <c r="B625" s="24"/>
      <c r="K625" s="24"/>
    </row>
    <row r="626" ht="15.75" customHeight="1">
      <c r="B626" s="24"/>
      <c r="K626" s="24"/>
    </row>
    <row r="627" ht="15.75" customHeight="1">
      <c r="B627" s="24"/>
      <c r="K627" s="24"/>
    </row>
    <row r="628" ht="15.75" customHeight="1">
      <c r="B628" s="24"/>
      <c r="K628" s="24"/>
    </row>
    <row r="629" ht="15.75" customHeight="1">
      <c r="B629" s="24"/>
      <c r="K629" s="24"/>
    </row>
    <row r="630" ht="15.75" customHeight="1">
      <c r="B630" s="24"/>
      <c r="K630" s="24"/>
    </row>
    <row r="631" ht="15.75" customHeight="1">
      <c r="B631" s="24"/>
      <c r="K631" s="24"/>
    </row>
    <row r="632" ht="15.75" customHeight="1">
      <c r="B632" s="24"/>
      <c r="K632" s="24"/>
    </row>
    <row r="633" ht="15.75" customHeight="1">
      <c r="B633" s="24"/>
      <c r="K633" s="24"/>
    </row>
    <row r="634" ht="15.75" customHeight="1">
      <c r="B634" s="24"/>
      <c r="K634" s="24"/>
    </row>
    <row r="635" ht="15.75" customHeight="1">
      <c r="B635" s="24"/>
      <c r="K635" s="24"/>
    </row>
    <row r="636" ht="15.75" customHeight="1">
      <c r="B636" s="24"/>
      <c r="K636" s="24"/>
    </row>
    <row r="637" ht="15.75" customHeight="1">
      <c r="B637" s="24"/>
      <c r="K637" s="24"/>
    </row>
    <row r="638" ht="15.75" customHeight="1">
      <c r="B638" s="24"/>
      <c r="K638" s="24"/>
    </row>
    <row r="639" ht="15.75" customHeight="1">
      <c r="B639" s="24"/>
      <c r="K639" s="24"/>
    </row>
    <row r="640" ht="15.75" customHeight="1">
      <c r="B640" s="24"/>
      <c r="K640" s="24"/>
    </row>
    <row r="641" ht="15.75" customHeight="1">
      <c r="B641" s="24"/>
      <c r="K641" s="24"/>
    </row>
    <row r="642" ht="15.75" customHeight="1">
      <c r="B642" s="24"/>
      <c r="K642" s="24"/>
    </row>
    <row r="643" ht="15.75" customHeight="1">
      <c r="B643" s="24"/>
      <c r="K643" s="24"/>
    </row>
    <row r="644" ht="15.75" customHeight="1">
      <c r="B644" s="24"/>
      <c r="K644" s="24"/>
    </row>
    <row r="645" ht="15.75" customHeight="1">
      <c r="B645" s="24"/>
      <c r="K645" s="24"/>
    </row>
    <row r="646" ht="15.75" customHeight="1">
      <c r="B646" s="24"/>
      <c r="K646" s="24"/>
    </row>
    <row r="647" ht="15.75" customHeight="1">
      <c r="B647" s="24"/>
      <c r="K647" s="24"/>
    </row>
    <row r="648" ht="15.75" customHeight="1">
      <c r="B648" s="24"/>
      <c r="K648" s="24"/>
    </row>
    <row r="649" ht="15.75" customHeight="1">
      <c r="B649" s="24"/>
      <c r="K649" s="24"/>
    </row>
    <row r="650" ht="15.75" customHeight="1">
      <c r="B650" s="24"/>
      <c r="K650" s="24"/>
    </row>
    <row r="651" ht="15.75" customHeight="1">
      <c r="B651" s="24"/>
      <c r="K651" s="24"/>
    </row>
    <row r="652" ht="15.75" customHeight="1">
      <c r="B652" s="24"/>
      <c r="K652" s="24"/>
    </row>
    <row r="653" ht="15.75" customHeight="1">
      <c r="B653" s="24"/>
      <c r="K653" s="24"/>
    </row>
    <row r="654" ht="15.75" customHeight="1">
      <c r="B654" s="24"/>
      <c r="K654" s="24"/>
    </row>
    <row r="655" ht="15.75" customHeight="1">
      <c r="B655" s="24"/>
      <c r="K655" s="24"/>
    </row>
    <row r="656" ht="15.75" customHeight="1">
      <c r="B656" s="24"/>
      <c r="K656" s="24"/>
    </row>
    <row r="657" ht="15.75" customHeight="1">
      <c r="B657" s="24"/>
      <c r="K657" s="24"/>
    </row>
    <row r="658" ht="15.75" customHeight="1">
      <c r="B658" s="24"/>
      <c r="K658" s="24"/>
    </row>
    <row r="659" ht="15.75" customHeight="1">
      <c r="B659" s="24"/>
      <c r="K659" s="24"/>
    </row>
    <row r="660" ht="15.75" customHeight="1">
      <c r="B660" s="24"/>
      <c r="K660" s="24"/>
    </row>
    <row r="661" ht="15.75" customHeight="1">
      <c r="B661" s="24"/>
      <c r="K661" s="24"/>
    </row>
    <row r="662" ht="15.75" customHeight="1">
      <c r="B662" s="24"/>
      <c r="K662" s="24"/>
    </row>
    <row r="663" ht="15.75" customHeight="1">
      <c r="B663" s="24"/>
      <c r="K663" s="24"/>
    </row>
    <row r="664" ht="15.75" customHeight="1">
      <c r="B664" s="24"/>
      <c r="K664" s="24"/>
    </row>
    <row r="665" ht="15.75" customHeight="1">
      <c r="B665" s="24"/>
      <c r="K665" s="24"/>
    </row>
    <row r="666" ht="15.75" customHeight="1">
      <c r="B666" s="24"/>
      <c r="K666" s="24"/>
    </row>
    <row r="667" ht="15.75" customHeight="1">
      <c r="B667" s="24"/>
      <c r="K667" s="24"/>
    </row>
    <row r="668" ht="15.75" customHeight="1">
      <c r="B668" s="24"/>
      <c r="K668" s="24"/>
    </row>
    <row r="669" ht="15.75" customHeight="1">
      <c r="B669" s="24"/>
      <c r="K669" s="24"/>
    </row>
    <row r="670" ht="15.75" customHeight="1">
      <c r="B670" s="24"/>
      <c r="K670" s="24"/>
    </row>
    <row r="671" ht="15.75" customHeight="1">
      <c r="B671" s="24"/>
      <c r="K671" s="24"/>
    </row>
    <row r="672" ht="15.75" customHeight="1">
      <c r="B672" s="24"/>
      <c r="K672" s="24"/>
    </row>
    <row r="673" ht="15.75" customHeight="1">
      <c r="B673" s="24"/>
      <c r="K673" s="24"/>
    </row>
    <row r="674" ht="15.75" customHeight="1">
      <c r="B674" s="24"/>
      <c r="K674" s="24"/>
    </row>
    <row r="675" ht="15.75" customHeight="1">
      <c r="B675" s="24"/>
      <c r="K675" s="24"/>
    </row>
    <row r="676" ht="15.75" customHeight="1">
      <c r="B676" s="24"/>
      <c r="K676" s="24"/>
    </row>
    <row r="677" ht="15.75" customHeight="1">
      <c r="B677" s="24"/>
      <c r="K677" s="24"/>
    </row>
    <row r="678" ht="15.75" customHeight="1">
      <c r="B678" s="24"/>
      <c r="K678" s="24"/>
    </row>
    <row r="679" ht="15.75" customHeight="1">
      <c r="B679" s="24"/>
      <c r="K679" s="24"/>
    </row>
    <row r="680" ht="15.75" customHeight="1">
      <c r="B680" s="24"/>
      <c r="K680" s="24"/>
    </row>
    <row r="681" ht="15.75" customHeight="1">
      <c r="B681" s="24"/>
      <c r="K681" s="24"/>
    </row>
    <row r="682" ht="15.75" customHeight="1">
      <c r="B682" s="24"/>
      <c r="K682" s="24"/>
    </row>
    <row r="683" ht="15.75" customHeight="1">
      <c r="B683" s="24"/>
      <c r="K683" s="24"/>
    </row>
    <row r="684" ht="15.75" customHeight="1">
      <c r="B684" s="24"/>
      <c r="K684" s="24"/>
    </row>
    <row r="685" ht="15.75" customHeight="1">
      <c r="B685" s="24"/>
      <c r="K685" s="24"/>
    </row>
    <row r="686" ht="15.75" customHeight="1">
      <c r="B686" s="24"/>
      <c r="K686" s="24"/>
    </row>
    <row r="687" ht="15.75" customHeight="1">
      <c r="B687" s="24"/>
      <c r="K687" s="24"/>
    </row>
    <row r="688" ht="15.75" customHeight="1">
      <c r="B688" s="24"/>
      <c r="K688" s="24"/>
    </row>
    <row r="689" ht="15.75" customHeight="1">
      <c r="B689" s="24"/>
      <c r="K689" s="24"/>
    </row>
    <row r="690" ht="15.75" customHeight="1">
      <c r="B690" s="24"/>
      <c r="K690" s="24"/>
    </row>
    <row r="691" ht="15.75" customHeight="1">
      <c r="B691" s="24"/>
      <c r="K691" s="24"/>
    </row>
    <row r="692" ht="15.75" customHeight="1">
      <c r="B692" s="24"/>
      <c r="K692" s="24"/>
    </row>
    <row r="693" ht="15.75" customHeight="1">
      <c r="B693" s="24"/>
      <c r="K693" s="24"/>
    </row>
    <row r="694" ht="15.75" customHeight="1">
      <c r="B694" s="24"/>
      <c r="K694" s="24"/>
    </row>
    <row r="695" ht="15.75" customHeight="1">
      <c r="B695" s="24"/>
      <c r="K695" s="24"/>
    </row>
    <row r="696" ht="15.75" customHeight="1">
      <c r="B696" s="24"/>
      <c r="K696" s="24"/>
    </row>
    <row r="697" ht="15.75" customHeight="1">
      <c r="B697" s="24"/>
      <c r="K697" s="24"/>
    </row>
    <row r="698" ht="15.75" customHeight="1">
      <c r="B698" s="24"/>
      <c r="K698" s="24"/>
    </row>
    <row r="699" ht="15.75" customHeight="1">
      <c r="B699" s="24"/>
      <c r="K699" s="24"/>
    </row>
    <row r="700" ht="15.75" customHeight="1">
      <c r="B700" s="24"/>
      <c r="K700" s="24"/>
    </row>
    <row r="701" ht="15.75" customHeight="1">
      <c r="B701" s="24"/>
      <c r="K701" s="24"/>
    </row>
    <row r="702" ht="15.75" customHeight="1">
      <c r="B702" s="24"/>
      <c r="K702" s="24"/>
    </row>
    <row r="703" ht="15.75" customHeight="1">
      <c r="B703" s="24"/>
      <c r="K703" s="24"/>
    </row>
    <row r="704" ht="15.75" customHeight="1">
      <c r="B704" s="24"/>
      <c r="K704" s="24"/>
    </row>
    <row r="705" ht="15.75" customHeight="1">
      <c r="B705" s="24"/>
      <c r="K705" s="24"/>
    </row>
    <row r="706" ht="15.75" customHeight="1">
      <c r="B706" s="24"/>
      <c r="K706" s="24"/>
    </row>
    <row r="707" ht="15.75" customHeight="1">
      <c r="B707" s="24"/>
      <c r="K707" s="24"/>
    </row>
    <row r="708" ht="15.75" customHeight="1">
      <c r="B708" s="24"/>
      <c r="K708" s="24"/>
    </row>
    <row r="709" ht="15.75" customHeight="1">
      <c r="B709" s="24"/>
      <c r="K709" s="24"/>
    </row>
    <row r="710" ht="15.75" customHeight="1">
      <c r="B710" s="24"/>
      <c r="K710" s="24"/>
    </row>
    <row r="711" ht="15.75" customHeight="1">
      <c r="B711" s="24"/>
      <c r="K711" s="24"/>
    </row>
    <row r="712" ht="15.75" customHeight="1">
      <c r="B712" s="24"/>
      <c r="K712" s="24"/>
    </row>
    <row r="713" ht="15.75" customHeight="1">
      <c r="B713" s="24"/>
      <c r="K713" s="24"/>
    </row>
    <row r="714" ht="15.75" customHeight="1">
      <c r="B714" s="24"/>
      <c r="K714" s="24"/>
    </row>
    <row r="715" ht="15.75" customHeight="1">
      <c r="B715" s="24"/>
      <c r="K715" s="24"/>
    </row>
    <row r="716" ht="15.75" customHeight="1">
      <c r="B716" s="24"/>
      <c r="K716" s="24"/>
    </row>
    <row r="717" ht="15.75" customHeight="1">
      <c r="B717" s="24"/>
      <c r="K717" s="24"/>
    </row>
    <row r="718" ht="15.75" customHeight="1">
      <c r="B718" s="24"/>
      <c r="K718" s="24"/>
    </row>
    <row r="719" ht="15.75" customHeight="1">
      <c r="B719" s="24"/>
      <c r="K719" s="24"/>
    </row>
    <row r="720" ht="15.75" customHeight="1">
      <c r="B720" s="24"/>
      <c r="K720" s="24"/>
    </row>
    <row r="721" ht="15.75" customHeight="1">
      <c r="B721" s="24"/>
      <c r="K721" s="24"/>
    </row>
    <row r="722" ht="15.75" customHeight="1">
      <c r="B722" s="24"/>
      <c r="K722" s="24"/>
    </row>
    <row r="723" ht="15.75" customHeight="1">
      <c r="B723" s="24"/>
      <c r="K723" s="24"/>
    </row>
    <row r="724" ht="15.75" customHeight="1">
      <c r="B724" s="24"/>
      <c r="K724" s="24"/>
    </row>
    <row r="725" ht="15.75" customHeight="1">
      <c r="B725" s="24"/>
      <c r="K725" s="24"/>
    </row>
    <row r="726" ht="15.75" customHeight="1">
      <c r="B726" s="24"/>
      <c r="K726" s="24"/>
    </row>
    <row r="727" ht="15.75" customHeight="1">
      <c r="B727" s="24"/>
      <c r="K727" s="24"/>
    </row>
    <row r="728" ht="15.75" customHeight="1">
      <c r="B728" s="24"/>
      <c r="K728" s="24"/>
    </row>
    <row r="729" ht="15.75" customHeight="1">
      <c r="B729" s="24"/>
      <c r="K729" s="24"/>
    </row>
    <row r="730" ht="15.75" customHeight="1">
      <c r="B730" s="24"/>
      <c r="K730" s="24"/>
    </row>
    <row r="731" ht="15.75" customHeight="1">
      <c r="B731" s="24"/>
      <c r="K731" s="24"/>
    </row>
    <row r="732" ht="15.75" customHeight="1">
      <c r="B732" s="24"/>
      <c r="K732" s="24"/>
    </row>
    <row r="733" ht="15.75" customHeight="1">
      <c r="B733" s="24"/>
      <c r="K733" s="24"/>
    </row>
    <row r="734" ht="15.75" customHeight="1">
      <c r="B734" s="24"/>
      <c r="K734" s="24"/>
    </row>
    <row r="735" ht="15.75" customHeight="1">
      <c r="B735" s="24"/>
      <c r="K735" s="24"/>
    </row>
    <row r="736" ht="15.75" customHeight="1">
      <c r="B736" s="24"/>
      <c r="K736" s="24"/>
    </row>
    <row r="737" ht="15.75" customHeight="1">
      <c r="B737" s="24"/>
      <c r="K737" s="24"/>
    </row>
    <row r="738" ht="15.75" customHeight="1">
      <c r="B738" s="24"/>
      <c r="K738" s="24"/>
    </row>
    <row r="739" ht="15.75" customHeight="1">
      <c r="B739" s="24"/>
      <c r="K739" s="24"/>
    </row>
    <row r="740" ht="15.75" customHeight="1">
      <c r="B740" s="24"/>
      <c r="K740" s="24"/>
    </row>
    <row r="741" ht="15.75" customHeight="1">
      <c r="B741" s="24"/>
      <c r="K741" s="24"/>
    </row>
    <row r="742" ht="15.75" customHeight="1">
      <c r="B742" s="24"/>
      <c r="K742" s="24"/>
    </row>
    <row r="743" ht="15.75" customHeight="1">
      <c r="B743" s="24"/>
      <c r="K743" s="24"/>
    </row>
    <row r="744" ht="15.75" customHeight="1">
      <c r="B744" s="24"/>
      <c r="K744" s="24"/>
    </row>
    <row r="745" ht="15.75" customHeight="1">
      <c r="B745" s="24"/>
      <c r="K745" s="24"/>
    </row>
    <row r="746" ht="15.75" customHeight="1">
      <c r="B746" s="24"/>
      <c r="K746" s="24"/>
    </row>
    <row r="747" ht="15.75" customHeight="1">
      <c r="B747" s="24"/>
      <c r="K747" s="24"/>
    </row>
    <row r="748" ht="15.75" customHeight="1">
      <c r="B748" s="24"/>
      <c r="K748" s="24"/>
    </row>
    <row r="749" ht="15.75" customHeight="1">
      <c r="B749" s="24"/>
      <c r="K749" s="24"/>
    </row>
    <row r="750" ht="15.75" customHeight="1">
      <c r="B750" s="24"/>
      <c r="K750" s="24"/>
    </row>
    <row r="751" ht="15.75" customHeight="1">
      <c r="B751" s="24"/>
      <c r="K751" s="24"/>
    </row>
    <row r="752" ht="15.75" customHeight="1">
      <c r="B752" s="24"/>
      <c r="K752" s="24"/>
    </row>
    <row r="753" ht="15.75" customHeight="1">
      <c r="B753" s="24"/>
      <c r="K753" s="24"/>
    </row>
    <row r="754" ht="15.75" customHeight="1">
      <c r="B754" s="24"/>
      <c r="K754" s="24"/>
    </row>
    <row r="755" ht="15.75" customHeight="1">
      <c r="B755" s="24"/>
      <c r="K755" s="24"/>
    </row>
    <row r="756" ht="15.75" customHeight="1">
      <c r="B756" s="24"/>
      <c r="K756" s="24"/>
    </row>
    <row r="757" ht="15.75" customHeight="1">
      <c r="B757" s="24"/>
      <c r="K757" s="24"/>
    </row>
    <row r="758" ht="15.75" customHeight="1">
      <c r="B758" s="24"/>
      <c r="K758" s="24"/>
    </row>
    <row r="759" ht="15.75" customHeight="1">
      <c r="B759" s="24"/>
      <c r="K759" s="24"/>
    </row>
    <row r="760" ht="15.75" customHeight="1">
      <c r="B760" s="24"/>
      <c r="K760" s="24"/>
    </row>
    <row r="761" ht="15.75" customHeight="1">
      <c r="B761" s="24"/>
      <c r="K761" s="24"/>
    </row>
    <row r="762" ht="15.75" customHeight="1">
      <c r="B762" s="24"/>
      <c r="K762" s="24"/>
    </row>
    <row r="763" ht="15.75" customHeight="1">
      <c r="B763" s="24"/>
      <c r="K763" s="24"/>
    </row>
    <row r="764" ht="15.75" customHeight="1">
      <c r="B764" s="24"/>
      <c r="K764" s="24"/>
    </row>
    <row r="765" ht="15.75" customHeight="1">
      <c r="B765" s="24"/>
      <c r="K765" s="24"/>
    </row>
    <row r="766" ht="15.75" customHeight="1">
      <c r="B766" s="24"/>
      <c r="K766" s="24"/>
    </row>
    <row r="767" ht="15.75" customHeight="1">
      <c r="B767" s="24"/>
      <c r="K767" s="24"/>
    </row>
    <row r="768" ht="15.75" customHeight="1">
      <c r="B768" s="24"/>
      <c r="K768" s="24"/>
    </row>
    <row r="769" ht="15.75" customHeight="1">
      <c r="B769" s="24"/>
      <c r="K769" s="24"/>
    </row>
    <row r="770" ht="15.75" customHeight="1">
      <c r="B770" s="24"/>
      <c r="K770" s="24"/>
    </row>
    <row r="771" ht="15.75" customHeight="1">
      <c r="B771" s="24"/>
      <c r="K771" s="24"/>
    </row>
    <row r="772" ht="15.75" customHeight="1">
      <c r="B772" s="24"/>
      <c r="K772" s="24"/>
    </row>
    <row r="773" ht="15.75" customHeight="1">
      <c r="B773" s="24"/>
      <c r="K773" s="24"/>
    </row>
    <row r="774" ht="15.75" customHeight="1">
      <c r="B774" s="24"/>
      <c r="K774" s="24"/>
    </row>
    <row r="775" ht="15.75" customHeight="1">
      <c r="B775" s="24"/>
      <c r="K775" s="24"/>
    </row>
    <row r="776" ht="15.75" customHeight="1">
      <c r="B776" s="24"/>
      <c r="K776" s="24"/>
    </row>
    <row r="777" ht="15.75" customHeight="1">
      <c r="B777" s="24"/>
      <c r="K777" s="24"/>
    </row>
    <row r="778" ht="15.75" customHeight="1">
      <c r="B778" s="24"/>
      <c r="K778" s="24"/>
    </row>
    <row r="779" ht="15.75" customHeight="1">
      <c r="B779" s="24"/>
      <c r="K779" s="24"/>
    </row>
    <row r="780" ht="15.75" customHeight="1">
      <c r="B780" s="24"/>
      <c r="K780" s="24"/>
    </row>
    <row r="781" ht="15.75" customHeight="1">
      <c r="B781" s="24"/>
      <c r="K781" s="24"/>
    </row>
    <row r="782" ht="15.75" customHeight="1">
      <c r="B782" s="24"/>
      <c r="K782" s="24"/>
    </row>
    <row r="783" ht="15.75" customHeight="1">
      <c r="B783" s="24"/>
      <c r="K783" s="24"/>
    </row>
    <row r="784" ht="15.75" customHeight="1">
      <c r="B784" s="24"/>
      <c r="K784" s="24"/>
    </row>
    <row r="785" ht="15.75" customHeight="1">
      <c r="B785" s="24"/>
      <c r="K785" s="24"/>
    </row>
    <row r="786" ht="15.75" customHeight="1">
      <c r="B786" s="24"/>
      <c r="K786" s="24"/>
    </row>
    <row r="787" ht="15.75" customHeight="1">
      <c r="B787" s="24"/>
      <c r="K787" s="24"/>
    </row>
    <row r="788" ht="15.75" customHeight="1">
      <c r="B788" s="24"/>
      <c r="K788" s="24"/>
    </row>
    <row r="789" ht="15.75" customHeight="1">
      <c r="B789" s="24"/>
      <c r="K789" s="24"/>
    </row>
    <row r="790" ht="15.75" customHeight="1">
      <c r="B790" s="24"/>
      <c r="K790" s="24"/>
    </row>
    <row r="791" ht="15.75" customHeight="1">
      <c r="B791" s="24"/>
      <c r="K791" s="24"/>
    </row>
    <row r="792" ht="15.75" customHeight="1">
      <c r="B792" s="24"/>
      <c r="K792" s="24"/>
    </row>
    <row r="793" ht="15.75" customHeight="1">
      <c r="B793" s="24"/>
      <c r="K793" s="24"/>
    </row>
    <row r="794" ht="15.75" customHeight="1">
      <c r="B794" s="24"/>
      <c r="K794" s="24"/>
    </row>
    <row r="795" ht="15.75" customHeight="1">
      <c r="B795" s="24"/>
      <c r="K795" s="24"/>
    </row>
    <row r="796" ht="15.75" customHeight="1">
      <c r="B796" s="24"/>
      <c r="K796" s="24"/>
    </row>
    <row r="797" ht="15.75" customHeight="1">
      <c r="B797" s="24"/>
      <c r="K797" s="24"/>
    </row>
    <row r="798" ht="15.75" customHeight="1">
      <c r="B798" s="24"/>
      <c r="K798" s="24"/>
    </row>
    <row r="799" ht="15.75" customHeight="1">
      <c r="B799" s="24"/>
      <c r="K799" s="24"/>
    </row>
    <row r="800" ht="15.75" customHeight="1">
      <c r="B800" s="24"/>
      <c r="K800" s="24"/>
    </row>
    <row r="801" ht="15.75" customHeight="1">
      <c r="B801" s="24"/>
      <c r="K801" s="24"/>
    </row>
    <row r="802" ht="15.75" customHeight="1">
      <c r="B802" s="24"/>
      <c r="K802" s="24"/>
    </row>
    <row r="803" ht="15.75" customHeight="1">
      <c r="B803" s="24"/>
      <c r="K803" s="24"/>
    </row>
    <row r="804" ht="15.75" customHeight="1">
      <c r="B804" s="24"/>
      <c r="K804" s="24"/>
    </row>
    <row r="805" ht="15.75" customHeight="1">
      <c r="B805" s="24"/>
      <c r="K805" s="24"/>
    </row>
    <row r="806" ht="15.75" customHeight="1">
      <c r="B806" s="24"/>
      <c r="K806" s="24"/>
    </row>
    <row r="807" ht="15.75" customHeight="1">
      <c r="B807" s="24"/>
      <c r="K807" s="24"/>
    </row>
    <row r="808" ht="15.75" customHeight="1">
      <c r="B808" s="24"/>
      <c r="K808" s="24"/>
    </row>
    <row r="809" ht="15.75" customHeight="1">
      <c r="B809" s="24"/>
      <c r="K809" s="24"/>
    </row>
    <row r="810" ht="15.75" customHeight="1">
      <c r="B810" s="24"/>
      <c r="K810" s="24"/>
    </row>
    <row r="811" ht="15.75" customHeight="1">
      <c r="B811" s="24"/>
      <c r="K811" s="24"/>
    </row>
    <row r="812" ht="15.75" customHeight="1">
      <c r="B812" s="24"/>
      <c r="K812" s="24"/>
    </row>
    <row r="813" ht="15.75" customHeight="1">
      <c r="B813" s="24"/>
      <c r="K813" s="24"/>
    </row>
    <row r="814" ht="15.75" customHeight="1">
      <c r="B814" s="24"/>
      <c r="K814" s="24"/>
    </row>
    <row r="815" ht="15.75" customHeight="1">
      <c r="B815" s="24"/>
      <c r="K815" s="24"/>
    </row>
    <row r="816" ht="15.75" customHeight="1">
      <c r="B816" s="24"/>
      <c r="K816" s="24"/>
    </row>
    <row r="817" ht="15.75" customHeight="1">
      <c r="B817" s="24"/>
      <c r="K817" s="24"/>
    </row>
    <row r="818" ht="15.75" customHeight="1">
      <c r="B818" s="24"/>
      <c r="K818" s="24"/>
    </row>
    <row r="819" ht="15.75" customHeight="1">
      <c r="B819" s="24"/>
      <c r="K819" s="24"/>
    </row>
    <row r="820" ht="15.75" customHeight="1">
      <c r="B820" s="24"/>
      <c r="K820" s="24"/>
    </row>
    <row r="821" ht="15.75" customHeight="1">
      <c r="B821" s="24"/>
      <c r="K821" s="24"/>
    </row>
    <row r="822" ht="15.75" customHeight="1">
      <c r="B822" s="24"/>
      <c r="K822" s="24"/>
    </row>
    <row r="823" ht="15.75" customHeight="1">
      <c r="B823" s="24"/>
      <c r="K823" s="24"/>
    </row>
    <row r="824" ht="15.75" customHeight="1">
      <c r="B824" s="24"/>
      <c r="K824" s="24"/>
    </row>
    <row r="825" ht="15.75" customHeight="1">
      <c r="B825" s="24"/>
      <c r="K825" s="24"/>
    </row>
    <row r="826" ht="15.75" customHeight="1">
      <c r="B826" s="24"/>
      <c r="K826" s="24"/>
    </row>
    <row r="827" ht="15.75" customHeight="1">
      <c r="B827" s="24"/>
      <c r="K827" s="24"/>
    </row>
    <row r="828" ht="15.75" customHeight="1">
      <c r="B828" s="24"/>
      <c r="K828" s="24"/>
    </row>
    <row r="829" ht="15.75" customHeight="1">
      <c r="B829" s="24"/>
      <c r="K829" s="24"/>
    </row>
    <row r="830" ht="15.75" customHeight="1">
      <c r="B830" s="24"/>
      <c r="K830" s="24"/>
    </row>
    <row r="831" ht="15.75" customHeight="1">
      <c r="B831" s="24"/>
      <c r="K831" s="24"/>
    </row>
    <row r="832" ht="15.75" customHeight="1">
      <c r="B832" s="24"/>
      <c r="K832" s="24"/>
    </row>
    <row r="833" ht="15.75" customHeight="1">
      <c r="B833" s="24"/>
      <c r="K833" s="24"/>
    </row>
    <row r="834" ht="15.75" customHeight="1">
      <c r="B834" s="24"/>
      <c r="K834" s="24"/>
    </row>
    <row r="835" ht="15.75" customHeight="1">
      <c r="B835" s="24"/>
      <c r="K835" s="24"/>
    </row>
    <row r="836" ht="15.75" customHeight="1">
      <c r="B836" s="24"/>
      <c r="K836" s="24"/>
    </row>
    <row r="837" ht="15.75" customHeight="1">
      <c r="B837" s="24"/>
      <c r="K837" s="24"/>
    </row>
    <row r="838" ht="15.75" customHeight="1">
      <c r="B838" s="24"/>
      <c r="K838" s="24"/>
    </row>
    <row r="839" ht="15.75" customHeight="1">
      <c r="B839" s="24"/>
      <c r="K839" s="24"/>
    </row>
    <row r="840" ht="15.75" customHeight="1">
      <c r="B840" s="24"/>
      <c r="K840" s="24"/>
    </row>
    <row r="841" ht="15.75" customHeight="1">
      <c r="B841" s="24"/>
      <c r="K841" s="24"/>
    </row>
    <row r="842" ht="15.75" customHeight="1">
      <c r="B842" s="24"/>
      <c r="K842" s="24"/>
    </row>
    <row r="843" ht="15.75" customHeight="1">
      <c r="B843" s="24"/>
      <c r="K843" s="24"/>
    </row>
    <row r="844" ht="15.75" customHeight="1">
      <c r="B844" s="24"/>
      <c r="K844" s="24"/>
    </row>
    <row r="845" ht="15.75" customHeight="1">
      <c r="B845" s="24"/>
      <c r="K845" s="24"/>
    </row>
    <row r="846" ht="15.75" customHeight="1">
      <c r="B846" s="24"/>
      <c r="K846" s="24"/>
    </row>
    <row r="847" ht="15.75" customHeight="1">
      <c r="B847" s="24"/>
      <c r="K847" s="24"/>
    </row>
    <row r="848" ht="15.75" customHeight="1">
      <c r="B848" s="24"/>
      <c r="K848" s="24"/>
    </row>
    <row r="849" ht="15.75" customHeight="1">
      <c r="B849" s="24"/>
      <c r="K849" s="24"/>
    </row>
    <row r="850" ht="15.75" customHeight="1">
      <c r="B850" s="24"/>
      <c r="K850" s="24"/>
    </row>
    <row r="851" ht="15.75" customHeight="1">
      <c r="B851" s="24"/>
      <c r="K851" s="24"/>
    </row>
    <row r="852" ht="15.75" customHeight="1">
      <c r="B852" s="24"/>
      <c r="K852" s="24"/>
    </row>
    <row r="853" ht="15.75" customHeight="1">
      <c r="B853" s="24"/>
      <c r="K853" s="24"/>
    </row>
    <row r="854" ht="15.75" customHeight="1">
      <c r="B854" s="24"/>
      <c r="K854" s="24"/>
    </row>
    <row r="855" ht="15.75" customHeight="1">
      <c r="B855" s="24"/>
      <c r="K855" s="24"/>
    </row>
    <row r="856" ht="15.75" customHeight="1">
      <c r="B856" s="24"/>
      <c r="K856" s="24"/>
    </row>
    <row r="857" ht="15.75" customHeight="1">
      <c r="B857" s="24"/>
      <c r="K857" s="24"/>
    </row>
    <row r="858" ht="15.75" customHeight="1">
      <c r="B858" s="24"/>
      <c r="K858" s="24"/>
    </row>
    <row r="859" ht="15.75" customHeight="1">
      <c r="B859" s="24"/>
      <c r="K859" s="24"/>
    </row>
    <row r="860" ht="15.75" customHeight="1">
      <c r="B860" s="24"/>
      <c r="K860" s="24"/>
    </row>
    <row r="861" ht="15.75" customHeight="1">
      <c r="B861" s="24"/>
      <c r="K861" s="24"/>
    </row>
    <row r="862" ht="15.75" customHeight="1">
      <c r="B862" s="24"/>
      <c r="K862" s="24"/>
    </row>
    <row r="863" ht="15.75" customHeight="1">
      <c r="B863" s="24"/>
      <c r="K863" s="24"/>
    </row>
    <row r="864" ht="15.75" customHeight="1">
      <c r="B864" s="24"/>
      <c r="K864" s="24"/>
    </row>
    <row r="865" ht="15.75" customHeight="1">
      <c r="B865" s="24"/>
      <c r="K865" s="24"/>
    </row>
    <row r="866" ht="15.75" customHeight="1">
      <c r="B866" s="24"/>
      <c r="K866" s="24"/>
    </row>
    <row r="867" ht="15.75" customHeight="1">
      <c r="B867" s="24"/>
      <c r="K867" s="24"/>
    </row>
    <row r="868" ht="15.75" customHeight="1">
      <c r="B868" s="24"/>
      <c r="K868" s="24"/>
    </row>
    <row r="869" ht="15.75" customHeight="1">
      <c r="B869" s="24"/>
      <c r="K869" s="24"/>
    </row>
    <row r="870" ht="15.75" customHeight="1">
      <c r="B870" s="24"/>
      <c r="K870" s="24"/>
    </row>
    <row r="871" ht="15.75" customHeight="1">
      <c r="B871" s="24"/>
      <c r="K871" s="24"/>
    </row>
    <row r="872" ht="15.75" customHeight="1">
      <c r="B872" s="24"/>
      <c r="K872" s="24"/>
    </row>
    <row r="873" ht="15.75" customHeight="1">
      <c r="B873" s="24"/>
      <c r="K873" s="24"/>
    </row>
    <row r="874" ht="15.75" customHeight="1">
      <c r="B874" s="24"/>
      <c r="K874" s="24"/>
    </row>
    <row r="875" ht="15.75" customHeight="1">
      <c r="B875" s="24"/>
      <c r="K875" s="24"/>
    </row>
    <row r="876" ht="15.75" customHeight="1">
      <c r="B876" s="24"/>
      <c r="K876" s="24"/>
    </row>
    <row r="877" ht="15.75" customHeight="1">
      <c r="B877" s="24"/>
      <c r="K877" s="24"/>
    </row>
    <row r="878" ht="15.75" customHeight="1">
      <c r="B878" s="24"/>
      <c r="K878" s="24"/>
    </row>
    <row r="879" ht="15.75" customHeight="1">
      <c r="B879" s="24"/>
      <c r="K879" s="24"/>
    </row>
    <row r="880" ht="15.75" customHeight="1">
      <c r="B880" s="24"/>
      <c r="K880" s="24"/>
    </row>
    <row r="881" ht="15.75" customHeight="1">
      <c r="B881" s="24"/>
      <c r="K881" s="24"/>
    </row>
    <row r="882" ht="15.75" customHeight="1">
      <c r="B882" s="24"/>
      <c r="K882" s="24"/>
    </row>
    <row r="883" ht="15.75" customHeight="1">
      <c r="B883" s="24"/>
      <c r="K883" s="24"/>
    </row>
    <row r="884" ht="15.75" customHeight="1">
      <c r="B884" s="24"/>
      <c r="K884" s="24"/>
    </row>
    <row r="885" ht="15.75" customHeight="1">
      <c r="B885" s="24"/>
      <c r="K885" s="24"/>
    </row>
    <row r="886" ht="15.75" customHeight="1">
      <c r="B886" s="24"/>
      <c r="K886" s="24"/>
    </row>
    <row r="887" ht="15.75" customHeight="1">
      <c r="B887" s="24"/>
      <c r="K887" s="24"/>
    </row>
    <row r="888" ht="15.75" customHeight="1">
      <c r="B888" s="24"/>
      <c r="K888" s="24"/>
    </row>
    <row r="889" ht="15.75" customHeight="1">
      <c r="B889" s="24"/>
      <c r="K889" s="24"/>
    </row>
    <row r="890" ht="15.75" customHeight="1">
      <c r="B890" s="24"/>
      <c r="K890" s="24"/>
    </row>
    <row r="891" ht="15.75" customHeight="1">
      <c r="B891" s="24"/>
      <c r="K891" s="24"/>
    </row>
    <row r="892" ht="15.75" customHeight="1">
      <c r="B892" s="24"/>
      <c r="K892" s="24"/>
    </row>
    <row r="893" ht="15.75" customHeight="1">
      <c r="B893" s="24"/>
      <c r="K893" s="24"/>
    </row>
    <row r="894" ht="15.75" customHeight="1">
      <c r="B894" s="24"/>
      <c r="K894" s="24"/>
    </row>
    <row r="895" ht="15.75" customHeight="1">
      <c r="B895" s="24"/>
      <c r="K895" s="24"/>
    </row>
    <row r="896" ht="15.75" customHeight="1">
      <c r="B896" s="24"/>
      <c r="K896" s="24"/>
    </row>
    <row r="897" ht="15.75" customHeight="1">
      <c r="B897" s="24"/>
      <c r="K897" s="24"/>
    </row>
    <row r="898" ht="15.75" customHeight="1">
      <c r="B898" s="24"/>
      <c r="K898" s="24"/>
    </row>
    <row r="899" ht="15.75" customHeight="1">
      <c r="B899" s="24"/>
      <c r="K899" s="24"/>
    </row>
    <row r="900" ht="15.75" customHeight="1">
      <c r="B900" s="24"/>
      <c r="K900" s="24"/>
    </row>
    <row r="901" ht="15.75" customHeight="1">
      <c r="B901" s="24"/>
      <c r="K901" s="24"/>
    </row>
    <row r="902" ht="15.75" customHeight="1">
      <c r="B902" s="24"/>
      <c r="K902" s="24"/>
    </row>
    <row r="903" ht="15.75" customHeight="1">
      <c r="B903" s="24"/>
      <c r="K903" s="24"/>
    </row>
    <row r="904" ht="15.75" customHeight="1">
      <c r="B904" s="24"/>
      <c r="K904" s="24"/>
    </row>
    <row r="905" ht="15.75" customHeight="1">
      <c r="B905" s="24"/>
      <c r="K905" s="24"/>
    </row>
    <row r="906" ht="15.75" customHeight="1">
      <c r="B906" s="24"/>
      <c r="K906" s="24"/>
    </row>
    <row r="907" ht="15.75" customHeight="1">
      <c r="B907" s="24"/>
      <c r="K907" s="24"/>
    </row>
    <row r="908" ht="15.75" customHeight="1">
      <c r="B908" s="24"/>
      <c r="K908" s="24"/>
    </row>
    <row r="909" ht="15.75" customHeight="1">
      <c r="B909" s="24"/>
      <c r="K909" s="24"/>
    </row>
    <row r="910" ht="15.75" customHeight="1">
      <c r="B910" s="24"/>
      <c r="K910" s="24"/>
    </row>
    <row r="911" ht="15.75" customHeight="1">
      <c r="B911" s="24"/>
      <c r="K911" s="24"/>
    </row>
    <row r="912" ht="15.75" customHeight="1">
      <c r="B912" s="24"/>
      <c r="K912" s="24"/>
    </row>
    <row r="913" ht="15.75" customHeight="1">
      <c r="B913" s="24"/>
      <c r="K913" s="24"/>
    </row>
    <row r="914" ht="15.75" customHeight="1">
      <c r="B914" s="24"/>
      <c r="K914" s="24"/>
    </row>
    <row r="915" ht="15.75" customHeight="1">
      <c r="B915" s="24"/>
      <c r="K915" s="24"/>
    </row>
    <row r="916" ht="15.75" customHeight="1">
      <c r="B916" s="24"/>
      <c r="K916" s="24"/>
    </row>
    <row r="917" ht="15.75" customHeight="1">
      <c r="B917" s="24"/>
      <c r="K917" s="24"/>
    </row>
    <row r="918" ht="15.75" customHeight="1">
      <c r="B918" s="24"/>
      <c r="K918" s="24"/>
    </row>
    <row r="919" ht="15.75" customHeight="1">
      <c r="B919" s="24"/>
      <c r="K919" s="24"/>
    </row>
    <row r="920" ht="15.75" customHeight="1">
      <c r="B920" s="24"/>
      <c r="K920" s="24"/>
    </row>
    <row r="921" ht="15.75" customHeight="1">
      <c r="B921" s="24"/>
      <c r="K921" s="24"/>
    </row>
    <row r="922" ht="15.75" customHeight="1">
      <c r="B922" s="24"/>
      <c r="K922" s="24"/>
    </row>
    <row r="923" ht="15.75" customHeight="1">
      <c r="B923" s="24"/>
      <c r="K923" s="24"/>
    </row>
    <row r="924" ht="15.75" customHeight="1">
      <c r="B924" s="24"/>
      <c r="K924" s="24"/>
    </row>
    <row r="925" ht="15.75" customHeight="1">
      <c r="B925" s="24"/>
      <c r="K925" s="24"/>
    </row>
    <row r="926" ht="15.75" customHeight="1">
      <c r="B926" s="24"/>
      <c r="K926" s="24"/>
    </row>
    <row r="927" ht="15.75" customHeight="1">
      <c r="B927" s="24"/>
      <c r="K927" s="24"/>
    </row>
    <row r="928" ht="15.75" customHeight="1">
      <c r="B928" s="24"/>
      <c r="K928" s="24"/>
    </row>
    <row r="929" ht="15.75" customHeight="1">
      <c r="B929" s="24"/>
      <c r="K929" s="24"/>
    </row>
    <row r="930" ht="15.75" customHeight="1">
      <c r="B930" s="24"/>
      <c r="K930" s="24"/>
    </row>
    <row r="931" ht="15.75" customHeight="1">
      <c r="B931" s="24"/>
      <c r="K931" s="24"/>
    </row>
    <row r="932" ht="15.75" customHeight="1">
      <c r="B932" s="24"/>
      <c r="K932" s="24"/>
    </row>
    <row r="933" ht="15.75" customHeight="1">
      <c r="B933" s="24"/>
      <c r="K933" s="24"/>
    </row>
    <row r="934" ht="15.75" customHeight="1">
      <c r="B934" s="24"/>
      <c r="K934" s="24"/>
    </row>
    <row r="935" ht="15.75" customHeight="1">
      <c r="B935" s="24"/>
      <c r="K935" s="24"/>
    </row>
    <row r="936" ht="15.75" customHeight="1">
      <c r="B936" s="24"/>
      <c r="K936" s="24"/>
    </row>
    <row r="937" ht="15.75" customHeight="1">
      <c r="B937" s="24"/>
      <c r="K937" s="24"/>
    </row>
    <row r="938" ht="15.75" customHeight="1">
      <c r="B938" s="24"/>
      <c r="K938" s="24"/>
    </row>
    <row r="939" ht="15.75" customHeight="1">
      <c r="B939" s="24"/>
      <c r="K939" s="24"/>
    </row>
    <row r="940" ht="15.75" customHeight="1">
      <c r="B940" s="24"/>
      <c r="K940" s="24"/>
    </row>
    <row r="941" ht="15.75" customHeight="1">
      <c r="B941" s="24"/>
      <c r="K941" s="24"/>
    </row>
    <row r="942" ht="15.75" customHeight="1">
      <c r="B942" s="24"/>
      <c r="K942" s="24"/>
    </row>
    <row r="943" ht="15.75" customHeight="1">
      <c r="B943" s="24"/>
      <c r="K943" s="24"/>
    </row>
    <row r="944" ht="15.75" customHeight="1">
      <c r="B944" s="24"/>
      <c r="K944" s="24"/>
    </row>
    <row r="945" ht="15.75" customHeight="1">
      <c r="B945" s="24"/>
      <c r="K945" s="24"/>
    </row>
    <row r="946" ht="15.75" customHeight="1">
      <c r="B946" s="24"/>
      <c r="K946" s="24"/>
    </row>
    <row r="947" ht="15.75" customHeight="1">
      <c r="B947" s="24"/>
      <c r="K947" s="24"/>
    </row>
    <row r="948" ht="15.75" customHeight="1">
      <c r="B948" s="24"/>
      <c r="K948" s="24"/>
    </row>
    <row r="949" ht="15.75" customHeight="1">
      <c r="B949" s="24"/>
      <c r="K949" s="24"/>
    </row>
    <row r="950" ht="15.75" customHeight="1">
      <c r="B950" s="24"/>
      <c r="K950" s="24"/>
    </row>
    <row r="951" ht="15.75" customHeight="1">
      <c r="B951" s="24"/>
      <c r="K951" s="24"/>
    </row>
    <row r="952" ht="15.75" customHeight="1">
      <c r="B952" s="24"/>
      <c r="K952" s="24"/>
    </row>
    <row r="953" ht="15.75" customHeight="1">
      <c r="B953" s="24"/>
      <c r="K953" s="24"/>
    </row>
    <row r="954" ht="15.75" customHeight="1">
      <c r="B954" s="24"/>
      <c r="K954" s="24"/>
    </row>
    <row r="955" ht="15.75" customHeight="1">
      <c r="B955" s="24"/>
      <c r="K955" s="24"/>
    </row>
    <row r="956" ht="15.75" customHeight="1">
      <c r="B956" s="24"/>
      <c r="K956" s="24"/>
    </row>
    <row r="957" ht="15.75" customHeight="1">
      <c r="B957" s="24"/>
      <c r="K957" s="24"/>
    </row>
    <row r="958" ht="15.75" customHeight="1">
      <c r="B958" s="24"/>
      <c r="K958" s="24"/>
    </row>
    <row r="959" ht="15.75" customHeight="1">
      <c r="B959" s="24"/>
      <c r="K959" s="24"/>
    </row>
    <row r="960" ht="15.75" customHeight="1">
      <c r="B960" s="24"/>
      <c r="K960" s="24"/>
    </row>
    <row r="961" ht="15.75" customHeight="1">
      <c r="B961" s="24"/>
      <c r="K961" s="24"/>
    </row>
    <row r="962" ht="15.75" customHeight="1">
      <c r="B962" s="24"/>
      <c r="K962" s="24"/>
    </row>
    <row r="963" ht="15.75" customHeight="1">
      <c r="B963" s="24"/>
      <c r="K963" s="24"/>
    </row>
    <row r="964" ht="15.75" customHeight="1">
      <c r="B964" s="24"/>
      <c r="K964" s="24"/>
    </row>
    <row r="965" ht="15.75" customHeight="1">
      <c r="B965" s="24"/>
      <c r="K965" s="24"/>
    </row>
    <row r="966" ht="15.75" customHeight="1">
      <c r="B966" s="24"/>
      <c r="K966" s="24"/>
    </row>
    <row r="967" ht="15.75" customHeight="1">
      <c r="B967" s="24"/>
      <c r="K967" s="24"/>
    </row>
    <row r="968" ht="15.75" customHeight="1">
      <c r="B968" s="24"/>
      <c r="K968" s="24"/>
    </row>
    <row r="969" ht="15.75" customHeight="1">
      <c r="B969" s="24"/>
      <c r="K969" s="24"/>
    </row>
    <row r="970" ht="15.75" customHeight="1">
      <c r="B970" s="24"/>
      <c r="K970" s="24"/>
    </row>
    <row r="971" ht="15.75" customHeight="1">
      <c r="B971" s="24"/>
      <c r="K971" s="24"/>
    </row>
    <row r="972" ht="15.75" customHeight="1">
      <c r="B972" s="24"/>
      <c r="K972" s="24"/>
    </row>
    <row r="973" ht="15.75" customHeight="1">
      <c r="B973" s="24"/>
      <c r="K973" s="24"/>
    </row>
    <row r="974" ht="15.75" customHeight="1">
      <c r="B974" s="24"/>
      <c r="K974" s="24"/>
    </row>
    <row r="975" ht="15.75" customHeight="1">
      <c r="B975" s="24"/>
      <c r="K975" s="24"/>
    </row>
    <row r="976" ht="15.75" customHeight="1">
      <c r="B976" s="24"/>
      <c r="K976" s="24"/>
    </row>
    <row r="977" ht="15.75" customHeight="1">
      <c r="B977" s="24"/>
      <c r="K977" s="24"/>
    </row>
    <row r="978" ht="15.75" customHeight="1">
      <c r="B978" s="24"/>
      <c r="K978" s="24"/>
    </row>
    <row r="979" ht="15.75" customHeight="1">
      <c r="B979" s="24"/>
      <c r="K979" s="24"/>
    </row>
    <row r="980" ht="15.75" customHeight="1">
      <c r="B980" s="24"/>
      <c r="K980" s="24"/>
    </row>
    <row r="981" ht="15.75" customHeight="1">
      <c r="B981" s="24"/>
      <c r="K981" s="24"/>
    </row>
    <row r="982" ht="15.75" customHeight="1">
      <c r="B982" s="24"/>
      <c r="K982" s="24"/>
    </row>
    <row r="983" ht="15.75" customHeight="1">
      <c r="B983" s="24"/>
      <c r="K983" s="24"/>
    </row>
    <row r="984" ht="15.75" customHeight="1">
      <c r="B984" s="24"/>
      <c r="K984" s="24"/>
    </row>
    <row r="985" ht="15.75" customHeight="1">
      <c r="B985" s="24"/>
      <c r="K985" s="24"/>
    </row>
    <row r="986" ht="15.75" customHeight="1">
      <c r="B986" s="24"/>
      <c r="K986" s="24"/>
    </row>
    <row r="987" ht="15.75" customHeight="1">
      <c r="B987" s="24"/>
      <c r="K987" s="24"/>
    </row>
    <row r="988" ht="15.75" customHeight="1">
      <c r="B988" s="24"/>
      <c r="K988" s="24"/>
    </row>
    <row r="989" ht="15.75" customHeight="1">
      <c r="B989" s="24"/>
      <c r="K989" s="24"/>
    </row>
    <row r="990" ht="15.75" customHeight="1">
      <c r="B990" s="24"/>
      <c r="K990" s="24"/>
    </row>
    <row r="991" ht="15.75" customHeight="1">
      <c r="B991" s="24"/>
      <c r="K991" s="24"/>
    </row>
    <row r="992" ht="15.75" customHeight="1">
      <c r="B992" s="24"/>
      <c r="K992" s="24"/>
    </row>
    <row r="993" ht="15.75" customHeight="1">
      <c r="B993" s="24"/>
      <c r="K993" s="24"/>
    </row>
    <row r="994" ht="15.75" customHeight="1">
      <c r="B994" s="24"/>
      <c r="K994" s="24"/>
    </row>
    <row r="995" ht="15.75" customHeight="1">
      <c r="B995" s="24"/>
      <c r="K995" s="24"/>
    </row>
    <row r="996" ht="15.75" customHeight="1">
      <c r="B996" s="24"/>
      <c r="K996" s="24"/>
    </row>
    <row r="997" ht="15.75" customHeight="1">
      <c r="B997" s="24"/>
      <c r="K997" s="24"/>
    </row>
    <row r="998" ht="15.75" customHeight="1">
      <c r="B998" s="24"/>
      <c r="K998" s="24"/>
    </row>
    <row r="999" ht="15.75" customHeight="1">
      <c r="B999" s="24"/>
      <c r="K999" s="24"/>
    </row>
    <row r="1000" ht="15.75" customHeight="1">
      <c r="B1000" s="24"/>
      <c r="K1000" s="24"/>
    </row>
  </sheetData>
  <conditionalFormatting sqref="G1:G1000">
    <cfRule type="containsText" dxfId="0" priority="1" operator="containsText" text="GOOD">
      <formula>NOT(ISERROR(SEARCH(("GOOD"),(G1))))</formula>
    </cfRule>
  </conditionalFormatting>
  <conditionalFormatting sqref="F1:F1000">
    <cfRule type="colorScale" priority="2">
      <colorScale>
        <cfvo type="percentile" val="0"/>
        <cfvo type="percentile" val="50"/>
        <cfvo type="percentile" val="100"/>
        <color rgb="FFFF0000"/>
        <color rgb="FFFFE599"/>
        <color rgb="FF34A853"/>
      </colorScale>
    </cfRule>
  </conditionalFormatting>
  <conditionalFormatting sqref="L1:L1000">
    <cfRule type="colorScale" priority="3">
      <colorScale>
        <cfvo type="formula" val="15"/>
        <cfvo type="formula" val="24"/>
        <cfvo type="formula" val="45"/>
        <color rgb="FFFFFFFF"/>
        <color rgb="FFABDDC5"/>
        <color rgb="FF57BB8A"/>
      </colorScale>
    </cfRule>
  </conditionalFormatting>
  <conditionalFormatting sqref="C1:C1000">
    <cfRule type="expression" dxfId="0" priority="4">
      <formula>C2&gt;=LARGE($C$2:$C$200,5)</formula>
    </cfRule>
  </conditionalFormatting>
  <conditionalFormatting sqref="G1:G1000">
    <cfRule type="containsText" dxfId="1" priority="5" operator="containsText" text="POOR">
      <formula>NOT(ISERROR(SEARCH(("POOR"),(G1))))</formula>
    </cfRule>
  </conditionalFormatting>
  <conditionalFormatting sqref="K1:K1000">
    <cfRule type="colorScale" priority="6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K1:K1000">
      <formula1>"Car,Passenger"</formula1>
    </dataValidation>
    <dataValidation type="list" allowBlank="1" showErrorMessage="1" sqref="B2:B1000">
      <formula1>"3000GT,300M,323i,328i,4Runner,528i,9-3,9-5,A4,A6,A8,Accent,Accord,Alero,Altima,Aurora,Avalon,Avenger,Beetle,Bonneville,Boxter,Bravada,Breeze,C-Class,C70,Cabrio,Camaro,Camry,Caravan,Carrera Cabrio,Carrera Coupe,Catera,Cavalier,Celica,Century,Cherokee,Cirru"&amp;"s,Civic,CL500,CLK Coupe,Concorde,Continental,Contour,Corolla,Corvette,Cougar,CR-V,Crown Victoria,Cutlass,Dakota,DeVille,Diamante,Durango,E-Class,Eclipse,Elantra,Eldorado,ES300,Escalade,Escort,Expedition,Explorer,F-Series,Firebird,Focus,Forester,Frontier,G"&amp;"alant,Golf,Grand Am,Grand Cherokee,Grand Marquis,Grand Prix,GS300,GS400,GTI,I30,Impala,Integra,Intrepid,Intrigue,Jetta,Land Cruiser,LeSabre,LHS,LS,LS400,Lumina,LW,LX470,M-Class,Malibu,Maxima,Metro,Mirage,Montana,Monte Carlo,Montero,Montero Sport,Mountaine"&amp;"er,Mustang,Mystique,Navigator,Neon,Odyssey,Outback,Park Avenue,Passat,Passport,Pathfinder,Prizm,Prowler,Quest,Ram Pickup,Ram Van,Ram Wagon,Ranger,RAV4,Regal,RL,RX300,S-Class,S-Type,S40,S70,S80,Sable,SC,Sebring Conv.,Sebring Coupe,Sentra,Seville,Sienna,Sil"&amp;"houette,SL,SL-Class,SLK,SLK230,Sonata,Stratus,Sunfire,SW,Tacoma,Taurus,TL,Town car,V40,V70,Villager,Viper,Voyager,Windstar,Wrangler,Xterra"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7" t="s">
        <v>240</v>
      </c>
    </row>
    <row r="2" ht="15.75" customHeight="1"/>
    <row r="3" ht="15.75" customHeight="1">
      <c r="A3" s="28" t="s">
        <v>241</v>
      </c>
      <c r="G3" s="28">
        <f>SUM(Sheet1!C:C)</f>
        <v>8253104</v>
      </c>
    </row>
    <row r="4" ht="15.75" customHeight="1">
      <c r="A4" s="28" t="s">
        <v>242</v>
      </c>
      <c r="G4" s="29">
        <f>AVERAGE(Sheet1!D:D)</f>
        <v>27455.27097</v>
      </c>
    </row>
    <row r="5" ht="15.75" customHeight="1">
      <c r="A5" s="28" t="s">
        <v>243</v>
      </c>
      <c r="G5" s="28">
        <f>SUM(Sheet1!W:W)</f>
        <v>180171766875</v>
      </c>
    </row>
    <row r="6" ht="15.75" customHeight="1"/>
    <row r="7" ht="15.75" customHeight="1">
      <c r="A7" s="30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6:G6"/>
    <mergeCell ref="A7:K96"/>
    <mergeCell ref="A1:K2"/>
    <mergeCell ref="A3:F3"/>
    <mergeCell ref="G3:K3"/>
    <mergeCell ref="A4:F4"/>
    <mergeCell ref="G4:K4"/>
    <mergeCell ref="A5:F5"/>
    <mergeCell ref="G5:K5"/>
  </mergeCells>
  <drawing r:id="rId1"/>
</worksheet>
</file>